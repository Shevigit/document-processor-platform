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L:\דוח נוכחות\"/>
    </mc:Choice>
  </mc:AlternateContent>
  <xr:revisionPtr revIDLastSave="0" documentId="13_ncr:1_{4D276F4C-87B8-4335-A60F-C242D20CA6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גיליון1" sheetId="1" r:id="rId1"/>
  </sheets>
  <definedNames>
    <definedName name="דקות">גיליון1!#REF!</definedName>
    <definedName name="שונות">גיליון1!$AK$43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32" i="1" l="1"/>
  <c r="AJ32" i="1" s="1"/>
  <c r="AI31" i="1"/>
  <c r="AJ31" i="1" s="1"/>
  <c r="AI8" i="1"/>
  <c r="AJ8" i="1" s="1"/>
  <c r="AI30" i="1"/>
  <c r="AJ30" i="1" s="1"/>
  <c r="AI29" i="1"/>
  <c r="AJ29" i="1" s="1"/>
  <c r="AI28" i="1"/>
  <c r="AJ28" i="1" s="1"/>
  <c r="AI27" i="1"/>
  <c r="AJ27" i="1" s="1"/>
  <c r="AI26" i="1"/>
  <c r="AJ26" i="1" s="1"/>
  <c r="AI25" i="1"/>
  <c r="AJ25" i="1" s="1"/>
  <c r="AI24" i="1"/>
  <c r="AJ24" i="1" s="1"/>
  <c r="AI23" i="1"/>
  <c r="AJ23" i="1" s="1"/>
  <c r="AI22" i="1"/>
  <c r="AJ22" i="1" s="1"/>
  <c r="AI21" i="1"/>
  <c r="AJ21" i="1" s="1"/>
  <c r="AI20" i="1"/>
  <c r="AJ20" i="1" s="1"/>
  <c r="AI19" i="1"/>
  <c r="AJ19" i="1" s="1"/>
  <c r="AI18" i="1"/>
  <c r="AJ18" i="1" s="1"/>
  <c r="AI17" i="1"/>
  <c r="AJ17" i="1" s="1"/>
  <c r="AI16" i="1"/>
  <c r="AJ16" i="1" s="1"/>
  <c r="AI15" i="1"/>
  <c r="AJ15" i="1" s="1"/>
  <c r="AI14" i="1"/>
  <c r="AJ14" i="1" s="1"/>
  <c r="AI13" i="1"/>
  <c r="AJ13" i="1" s="1"/>
  <c r="AI12" i="1"/>
  <c r="AJ12" i="1" s="1"/>
  <c r="AI11" i="1"/>
  <c r="AJ11" i="1" s="1"/>
  <c r="AI10" i="1"/>
  <c r="AJ10" i="1" s="1"/>
  <c r="AI9" i="1"/>
  <c r="AJ9" i="1" s="1"/>
  <c r="AI7" i="1"/>
  <c r="AJ7" i="1" s="1"/>
  <c r="AI6" i="1"/>
  <c r="AJ6" i="1" s="1"/>
  <c r="AI5" i="1"/>
  <c r="AJ5" i="1" s="1"/>
  <c r="AI4" i="1"/>
  <c r="AJ4" i="1" s="1"/>
  <c r="AI3" i="1"/>
  <c r="AJ3" i="1" s="1"/>
  <c r="AI2" i="1"/>
  <c r="AJ2" i="1" s="1"/>
  <c r="AJ33" i="1" l="1"/>
  <c r="AK43" i="1"/>
</calcChain>
</file>

<file path=xl/sharedStrings.xml><?xml version="1.0" encoding="utf-8"?>
<sst xmlns="http://schemas.openxmlformats.org/spreadsheetml/2006/main" count="72" uniqueCount="46">
  <si>
    <t>גליון נוכחות ללבורנטיות</t>
  </si>
  <si>
    <t>יום בחודש</t>
  </si>
  <si>
    <t>יום בשבוע</t>
  </si>
  <si>
    <t>שעת כניסה</t>
  </si>
  <si>
    <t>שעת יציאה</t>
  </si>
  <si>
    <t>מספר שעות</t>
  </si>
  <si>
    <t>מספר נסיעות</t>
  </si>
  <si>
    <t>שם הלבורנטית שמלאת את מקומה</t>
  </si>
  <si>
    <t>פרטי העובדת:</t>
  </si>
  <si>
    <t xml:space="preserve">שם: </t>
  </si>
  <si>
    <t xml:space="preserve">טלפון: </t>
  </si>
  <si>
    <t xml:space="preserve">מס' זהות: </t>
  </si>
  <si>
    <t>חודש עבודה (לועזי):</t>
  </si>
  <si>
    <t>שנה:</t>
  </si>
  <si>
    <t>הסבר והוראות למילוי הטופס ושליחתו:</t>
  </si>
  <si>
    <r>
      <rPr>
        <b/>
        <sz val="11"/>
        <color theme="1"/>
        <rFont val="AgasLight"/>
      </rPr>
      <t>א.</t>
    </r>
    <r>
      <rPr>
        <sz val="11"/>
        <color theme="1"/>
        <rFont val="AgasLight"/>
      </rPr>
      <t xml:space="preserve"> טופס זה יושלם ע" העובדת, יש למלאו בזמן אמת במקום העבודה.</t>
    </r>
  </si>
  <si>
    <r>
      <rPr>
        <b/>
        <sz val="11"/>
        <color theme="1"/>
        <rFont val="AgasLight"/>
      </rPr>
      <t xml:space="preserve">ב. </t>
    </r>
    <r>
      <rPr>
        <sz val="11"/>
        <color theme="1"/>
        <rFont val="AgasLight"/>
      </rPr>
      <t>יש להעביר טופס זה למשרד ביום העבודה האחרון בחודש.  ניתן לשלוח לפקס מספר: 08-6211031</t>
    </r>
  </si>
  <si>
    <t xml:space="preserve">  </t>
  </si>
  <si>
    <r>
      <rPr>
        <b/>
        <sz val="11"/>
        <color theme="1"/>
        <rFont val="AgasLight"/>
      </rPr>
      <t>ג.</t>
    </r>
    <r>
      <rPr>
        <sz val="11"/>
        <color theme="1"/>
        <rFont val="AgasLight"/>
      </rPr>
      <t xml:space="preserve"> לאחר שליחת הטופס יש לוודא בטל' 052-7130033 (בשעות הבוקר בלבד) שהטופס התקבל.</t>
    </r>
  </si>
  <si>
    <r>
      <rPr>
        <b/>
        <sz val="11"/>
        <color theme="1"/>
        <rFont val="AgasLight"/>
      </rPr>
      <t>ד.</t>
    </r>
    <r>
      <rPr>
        <sz val="11"/>
        <color theme="1"/>
        <rFont val="AgasLight"/>
      </rPr>
      <t xml:space="preserve"> חובה לשמור העתק דוח שעות זה, ללא העתקי דוחות לר נוכל לתת מענה לפנייתך.</t>
    </r>
  </si>
  <si>
    <r>
      <rPr>
        <b/>
        <sz val="11"/>
        <color theme="1"/>
        <rFont val="AgasLight"/>
      </rPr>
      <t>ה</t>
    </r>
    <r>
      <rPr>
        <sz val="11"/>
        <color theme="1"/>
        <rFont val="AgasLight"/>
      </rPr>
      <t>. עובדת שלא עבדה במערכת בשנה הלועזית הנוחכית, יש להגיש גם טופס 101 + הודעה על תנאי העבודה.</t>
    </r>
  </si>
  <si>
    <r>
      <rPr>
        <b/>
        <sz val="11"/>
        <color theme="1"/>
        <rFont val="AgasLight"/>
      </rPr>
      <t>ו.</t>
    </r>
    <r>
      <rPr>
        <sz val="11"/>
        <color theme="1"/>
        <rFont val="AgasLight"/>
      </rPr>
      <t xml:space="preserve"> אם חל שינוי במהלך השנה כמו: לידת ילד, שינוי כתובת, שינוי מצב משפחתי וכד' - יש למלא טופס 101 חדש.</t>
    </r>
  </si>
  <si>
    <r>
      <rPr>
        <b/>
        <sz val="11"/>
        <color theme="1"/>
        <rFont val="AgasLight"/>
      </rPr>
      <t>ז.</t>
    </r>
    <r>
      <rPr>
        <sz val="11"/>
        <color theme="1"/>
        <rFont val="AgasLight"/>
      </rPr>
      <t xml:space="preserve"> עובדת שיש לה עבודה נוספת עליה לצרף בנוסף לטופס 101 תאום מס ותאום ביטוח לאומי.</t>
    </r>
  </si>
  <si>
    <r>
      <rPr>
        <b/>
        <sz val="11"/>
        <color theme="1"/>
        <rFont val="AgasLight"/>
      </rPr>
      <t>ח.</t>
    </r>
    <r>
      <rPr>
        <sz val="11"/>
        <color theme="1"/>
        <rFont val="AgasLight"/>
      </rPr>
      <t xml:space="preserve"> תשלום בגין ימי חופשה משולם בכל חודש בגין חופשה לאותו חודש.</t>
    </r>
  </si>
  <si>
    <r>
      <rPr>
        <b/>
        <sz val="11"/>
        <color theme="1"/>
        <rFont val="AgasLight"/>
      </rPr>
      <t>ט.</t>
    </r>
    <r>
      <rPr>
        <sz val="11"/>
        <color theme="1"/>
        <rFont val="AgasLight"/>
      </rPr>
      <t xml:space="preserve"> עבודה זו הינה זמנית, ואינה מקנה קביעות או פיצויים.</t>
    </r>
  </si>
  <si>
    <r>
      <rPr>
        <b/>
        <sz val="11"/>
        <color theme="1"/>
        <rFont val="AgasLight"/>
      </rPr>
      <t>י.</t>
    </r>
    <r>
      <rPr>
        <sz val="11"/>
        <color theme="1"/>
        <rFont val="AgasLight"/>
      </rPr>
      <t xml:space="preserve"> מאחר ויש צורך לעדכן באופן פרטני יתכן והמשכורת תשולם רק בחודש הבא.</t>
    </r>
  </si>
  <si>
    <t>בהצלחה רבה!</t>
  </si>
  <si>
    <t xml:space="preserve">חתימת העובדת: </t>
  </si>
  <si>
    <t>סה"כ</t>
  </si>
  <si>
    <t>דקות</t>
  </si>
  <si>
    <t>שעות</t>
  </si>
  <si>
    <t>שבת</t>
  </si>
  <si>
    <t>שני</t>
  </si>
  <si>
    <t>שלישי</t>
  </si>
  <si>
    <t>ראשון</t>
  </si>
  <si>
    <t>שישי</t>
  </si>
  <si>
    <t>רביעי</t>
  </si>
  <si>
    <t>חמישי</t>
  </si>
  <si>
    <t>בעשרוני - שעות בפועל</t>
  </si>
  <si>
    <t>שעות עבודה</t>
  </si>
  <si>
    <t>ימי עבודה</t>
  </si>
  <si>
    <t>מס' נסיעות</t>
  </si>
  <si>
    <t>תשלום לנסיעות</t>
  </si>
  <si>
    <t>תעריף נסיעה ליום</t>
  </si>
  <si>
    <t>בת שבע גרינוולד</t>
  </si>
  <si>
    <t>ברכי ובר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</si>
</sst>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rial"/>
      <scheme val="minor"/>
    </font>
    <font>
      <sz val="11"/>
      <color theme="1"/>
      <name val="AgasLight"/>
    </font>
    <font>
      <b/>
      <sz val="22"/>
      <color theme="1"/>
      <name val="AgasLight"/>
    </font>
    <font>
      <sz val="11"/>
      <name val="Arial"/>
    </font>
    <font>
      <sz val="10"/>
      <color theme="1"/>
      <name val="AgasLight"/>
    </font>
    <font>
      <b/>
      <sz val="11"/>
      <color theme="1"/>
      <name val="AgasLight"/>
    </font>
    <font>
      <sz val="11"/>
      <color theme="1"/>
      <name val="Arial"/>
    </font>
    <font>
      <b/>
      <sz val="12"/>
      <color theme="1"/>
      <name val="Koby"/>
    </font>
    <font>
      <sz val="8"/>
      <name val="Arial"/>
      <scheme val="minor"/>
    </font>
    <font>
      <sz val="11"/>
      <color rgb="FFFF0000"/>
      <name val="AgasLight"/>
      <charset val="177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Arial"/>
    </font>
    <font>
      <u/>
      <sz val="11"/>
      <color theme="1"/>
      <name val="AgasLight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0" xfId="0" applyFont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20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20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6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/>
    <xf numFmtId="0" fontId="1" fillId="0" borderId="20" xfId="0" applyFont="1" applyBorder="1"/>
    <xf numFmtId="0" fontId="1" fillId="0" borderId="21" xfId="0" applyFont="1" applyBorder="1"/>
    <xf numFmtId="20" fontId="4" fillId="0" borderId="17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2" fontId="4" fillId="0" borderId="9" xfId="0" applyNumberFormat="1" applyFont="1" applyBorder="1"/>
    <xf numFmtId="0" fontId="1" fillId="2" borderId="22" xfId="0" applyFont="1" applyFill="1" applyBorder="1" applyAlignment="1">
      <alignment horizontal="center"/>
    </xf>
    <xf numFmtId="20" fontId="1" fillId="2" borderId="24" xfId="0" applyNumberFormat="1" applyFont="1" applyFill="1" applyBorder="1" applyAlignment="1">
      <alignment horizontal="center"/>
    </xf>
    <xf numFmtId="2" fontId="4" fillId="2" borderId="9" xfId="0" applyNumberFormat="1" applyFont="1" applyFill="1" applyBorder="1"/>
    <xf numFmtId="0" fontId="1" fillId="2" borderId="24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20" fontId="1" fillId="0" borderId="30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" fillId="0" borderId="32" xfId="0" applyFont="1" applyBorder="1"/>
    <xf numFmtId="0" fontId="1" fillId="0" borderId="0" xfId="0" applyFont="1"/>
    <xf numFmtId="0" fontId="1" fillId="0" borderId="6" xfId="0" applyFont="1" applyBorder="1"/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7" xfId="0" applyFont="1" applyBorder="1"/>
    <xf numFmtId="0" fontId="1" fillId="0" borderId="13" xfId="0" applyFont="1" applyBorder="1" applyAlignment="1">
      <alignment horizontal="center" vertical="center"/>
    </xf>
    <xf numFmtId="0" fontId="1" fillId="0" borderId="28" xfId="0" applyFont="1" applyBorder="1"/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wrapText="1"/>
    </xf>
    <xf numFmtId="0" fontId="1" fillId="0" borderId="19" xfId="0" applyFont="1" applyBorder="1"/>
    <xf numFmtId="0" fontId="4" fillId="0" borderId="17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0" fontId="5" fillId="0" borderId="28" xfId="0" applyFont="1" applyBorder="1" applyAlignment="1">
      <alignment horizontal="center"/>
    </xf>
    <xf numFmtId="0" fontId="1" fillId="0" borderId="35" xfId="0" applyFont="1" applyBorder="1"/>
    <xf numFmtId="0" fontId="1" fillId="0" borderId="17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8" xfId="0" applyFont="1" applyBorder="1"/>
    <xf numFmtId="0" fontId="9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3" fillId="0" borderId="3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5" xfId="0" applyFont="1" applyBorder="1"/>
    <xf numFmtId="0" fontId="1" fillId="0" borderId="8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2" xfId="0" applyFont="1" applyBorder="1"/>
    <xf numFmtId="0" fontId="6" fillId="0" borderId="15" xfId="0" applyFont="1" applyBorder="1" applyAlignment="1">
      <alignment horizontal="center" vertical="center"/>
    </xf>
    <xf numFmtId="0" fontId="3" fillId="0" borderId="19" xfId="0" applyFont="1" applyBorder="1"/>
    <xf numFmtId="0" fontId="3" fillId="0" borderId="16" xfId="0" applyFont="1" applyBorder="1"/>
    <xf numFmtId="0" fontId="1" fillId="0" borderId="12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3" fillId="2" borderId="16" xfId="0" applyFont="1" applyFill="1" applyBorder="1"/>
    <xf numFmtId="0" fontId="12" fillId="0" borderId="6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3" fillId="2" borderId="25" xfId="0" applyFont="1" applyFill="1" applyBorder="1"/>
    <xf numFmtId="0" fontId="1" fillId="0" borderId="6" xfId="0" applyFont="1" applyBorder="1" applyAlignment="1">
      <alignment horizontal="center"/>
    </xf>
    <xf numFmtId="0" fontId="3" fillId="0" borderId="6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27" xfId="0" applyFont="1" applyBorder="1" applyAlignment="1">
      <alignment horizontal="center"/>
    </xf>
    <xf numFmtId="0" fontId="3" fillId="0" borderId="27" xfId="0" applyFont="1" applyBorder="1"/>
    <xf numFmtId="0" fontId="1" fillId="0" borderId="34" xfId="0" applyFont="1" applyBorder="1" applyAlignment="1">
      <alignment horizontal="left"/>
    </xf>
    <xf numFmtId="0" fontId="6" fillId="0" borderId="1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1"/>
  <sheetViews>
    <sheetView showGridLines="0" rightToLeft="1" tabSelected="1" topLeftCell="A4" workbookViewId="0">
      <selection activeCell="AK30" sqref="AK30"/>
    </sheetView>
  </sheetViews>
  <sheetFormatPr defaultColWidth="12.625" defaultRowHeight="15" customHeight="1"/>
  <cols>
    <col min="1" max="2" width="1.625" customWidth="1"/>
    <col min="3" max="3" width="3.75" customWidth="1"/>
    <col min="4" max="4" width="11.375" customWidth="1"/>
    <col min="5" max="6" width="2.125" customWidth="1"/>
    <col min="7" max="7" width="5.25" customWidth="1"/>
    <col min="8" max="17" width="2.125" customWidth="1"/>
    <col min="18" max="18" width="9" customWidth="1"/>
    <col min="19" max="27" width="2.125" customWidth="1"/>
    <col min="28" max="28" width="3" customWidth="1"/>
    <col min="29" max="29" width="2" customWidth="1"/>
    <col min="30" max="30" width="5.5" customWidth="1"/>
    <col min="31" max="31" width="5.375" customWidth="1"/>
    <col min="32" max="32" width="0.875" customWidth="1"/>
    <col min="33" max="34" width="6.5" customWidth="1"/>
    <col min="35" max="35" width="8.625" customWidth="1"/>
    <col min="36" max="36" width="9" customWidth="1"/>
    <col min="37" max="37" width="5.625" customWidth="1"/>
    <col min="38" max="38" width="11.375" customWidth="1"/>
    <col min="39" max="39" width="14.125" customWidth="1"/>
    <col min="41" max="41" width="31.375" customWidth="1"/>
  </cols>
  <sheetData>
    <row r="1" spans="1:39" ht="43.5" customHeight="1" thickBot="1">
      <c r="A1" s="1"/>
      <c r="B1" s="1"/>
      <c r="C1" s="68" t="s">
        <v>0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2"/>
      <c r="AC1" s="1"/>
      <c r="AD1" s="3" t="s">
        <v>1</v>
      </c>
      <c r="AE1" s="69" t="s">
        <v>2</v>
      </c>
      <c r="AF1" s="70"/>
      <c r="AG1" s="4" t="s">
        <v>3</v>
      </c>
      <c r="AH1" s="4" t="s">
        <v>4</v>
      </c>
      <c r="AI1" s="4" t="s">
        <v>5</v>
      </c>
      <c r="AJ1" s="5" t="s">
        <v>38</v>
      </c>
      <c r="AK1" s="4" t="s">
        <v>6</v>
      </c>
      <c r="AL1" s="75" t="s">
        <v>7</v>
      </c>
      <c r="AM1" s="76"/>
    </row>
    <row r="2" spans="1:39" ht="14.25" customHeight="1" thickBot="1">
      <c r="A2" s="6"/>
      <c r="B2" s="7"/>
      <c r="C2" s="7"/>
      <c r="D2" s="66" t="s">
        <v>8</v>
      </c>
      <c r="E2" s="6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6"/>
      <c r="AD2" s="8">
        <v>1</v>
      </c>
      <c r="AE2" s="73" t="s">
        <v>31</v>
      </c>
      <c r="AF2" s="74"/>
      <c r="AG2" s="9"/>
      <c r="AH2" s="9"/>
      <c r="AI2" s="9">
        <f t="shared" ref="AI2:AI30" si="0">AH2-AG2</f>
        <v>0</v>
      </c>
      <c r="AJ2" s="29">
        <f>HOUR(AI2)+MINUTE(AI2)/60</f>
        <v>0</v>
      </c>
      <c r="AK2" s="10"/>
      <c r="AL2" s="77"/>
      <c r="AM2" s="78"/>
    </row>
    <row r="3" spans="1:39" ht="14.25" customHeight="1">
      <c r="A3" s="11"/>
      <c r="B3" s="6"/>
      <c r="C3" s="6"/>
      <c r="D3" s="79"/>
      <c r="E3" s="79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2"/>
      <c r="AC3" s="6"/>
      <c r="AD3" s="13">
        <v>2</v>
      </c>
      <c r="AE3" s="71" t="s">
        <v>34</v>
      </c>
      <c r="AF3" s="72"/>
      <c r="AG3" s="14"/>
      <c r="AH3" s="14"/>
      <c r="AI3" s="14">
        <f t="shared" si="0"/>
        <v>0</v>
      </c>
      <c r="AJ3" s="29">
        <f>HOUR(AI3)+MINUTE(AI3)/60</f>
        <v>0</v>
      </c>
      <c r="AK3" s="15"/>
      <c r="AL3" s="63"/>
      <c r="AM3" s="64"/>
    </row>
    <row r="4" spans="1:39" ht="14.25" customHeight="1">
      <c r="A4" s="11"/>
      <c r="B4" s="6"/>
      <c r="C4" s="16" t="s">
        <v>9</v>
      </c>
      <c r="D4" s="80" t="s">
        <v>44</v>
      </c>
      <c r="E4" s="81"/>
      <c r="F4" s="82"/>
      <c r="G4" s="16" t="s">
        <v>10</v>
      </c>
      <c r="H4" s="17">
        <v>8</v>
      </c>
      <c r="I4" s="17">
        <v>0</v>
      </c>
      <c r="J4" s="17">
        <v>4</v>
      </c>
      <c r="K4" s="17">
        <v>3</v>
      </c>
      <c r="L4" s="17">
        <v>0</v>
      </c>
      <c r="M4" s="17">
        <v>5</v>
      </c>
      <c r="N4" s="17">
        <v>8</v>
      </c>
      <c r="O4" s="17">
        <v>4</v>
      </c>
      <c r="P4" s="17">
        <v>5</v>
      </c>
      <c r="Q4" s="17">
        <v>0</v>
      </c>
      <c r="R4" s="16" t="s">
        <v>11</v>
      </c>
      <c r="S4" s="17">
        <v>5</v>
      </c>
      <c r="T4" s="17">
        <v>5</v>
      </c>
      <c r="U4" s="17">
        <v>1</v>
      </c>
      <c r="V4" s="17">
        <v>5</v>
      </c>
      <c r="W4" s="17">
        <v>3</v>
      </c>
      <c r="X4" s="17">
        <v>7</v>
      </c>
      <c r="Y4" s="17">
        <v>7</v>
      </c>
      <c r="Z4" s="17">
        <v>2</v>
      </c>
      <c r="AA4" s="17">
        <v>3</v>
      </c>
      <c r="AB4" s="18"/>
      <c r="AC4" s="6"/>
      <c r="AD4" s="13">
        <v>3</v>
      </c>
      <c r="AE4" s="71" t="s">
        <v>32</v>
      </c>
      <c r="AF4" s="72"/>
      <c r="AG4" s="14"/>
      <c r="AH4" s="14"/>
      <c r="AI4" s="14">
        <f t="shared" si="0"/>
        <v>0</v>
      </c>
      <c r="AJ4" s="29">
        <f>HOUR(AI4)+MINUTE(AI4)/60</f>
        <v>0</v>
      </c>
      <c r="AK4" s="15"/>
      <c r="AL4" s="63"/>
      <c r="AM4" s="64"/>
    </row>
    <row r="5" spans="1:39" ht="14.25" customHeight="1">
      <c r="A5" s="1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11"/>
      <c r="AC5" s="6"/>
      <c r="AD5" s="13">
        <v>4</v>
      </c>
      <c r="AE5" s="71" t="s">
        <v>33</v>
      </c>
      <c r="AF5" s="72"/>
      <c r="AG5" s="14">
        <v>0.48958333333333331</v>
      </c>
      <c r="AH5" s="14">
        <v>0.59722222222222221</v>
      </c>
      <c r="AI5" s="14">
        <f t="shared" si="0"/>
        <v>0.1076388888888889</v>
      </c>
      <c r="AJ5" s="29">
        <f>HOUR(AI5)+MINUTE(AI5)/60</f>
        <v>2.5833333333333335</v>
      </c>
      <c r="AK5" s="15">
        <v>2</v>
      </c>
      <c r="AL5" s="63"/>
      <c r="AM5" s="64"/>
    </row>
    <row r="6" spans="1:39" ht="14.25" customHeight="1">
      <c r="A6" s="11"/>
      <c r="B6" s="6"/>
      <c r="C6" s="6"/>
      <c r="D6" s="16" t="s">
        <v>12</v>
      </c>
      <c r="E6" s="17">
        <v>1</v>
      </c>
      <c r="F6" s="17">
        <v>1</v>
      </c>
      <c r="G6" s="16" t="s">
        <v>13</v>
      </c>
      <c r="H6" s="17">
        <v>5</v>
      </c>
      <c r="I6" s="17">
        <v>2</v>
      </c>
      <c r="J6" s="19">
        <v>0</v>
      </c>
      <c r="K6" s="19">
        <v>2</v>
      </c>
      <c r="L6" s="19"/>
      <c r="M6" s="16"/>
      <c r="N6" s="1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11"/>
      <c r="AC6" s="20"/>
      <c r="AD6" s="13">
        <v>5</v>
      </c>
      <c r="AE6" s="71" t="s">
        <v>36</v>
      </c>
      <c r="AF6" s="72"/>
      <c r="AG6" s="14"/>
      <c r="AH6" s="14"/>
      <c r="AI6" s="14">
        <f t="shared" si="0"/>
        <v>0</v>
      </c>
      <c r="AJ6" s="29">
        <f t="shared" ref="AJ6:AJ24" si="1">HOUR(AI6)+MINUTE(AI6)/60</f>
        <v>0</v>
      </c>
      <c r="AK6" s="15"/>
      <c r="AL6" s="63"/>
      <c r="AM6" s="64"/>
    </row>
    <row r="7" spans="1:39" ht="14.25" customHeight="1">
      <c r="A7" s="11"/>
      <c r="B7" s="6"/>
      <c r="C7" s="6"/>
      <c r="D7" s="6"/>
      <c r="E7" s="6"/>
      <c r="F7" s="6"/>
      <c r="G7" s="16"/>
      <c r="H7" s="16"/>
      <c r="I7" s="16"/>
      <c r="J7" s="16"/>
      <c r="K7" s="16"/>
      <c r="L7" s="16"/>
      <c r="M7" s="16"/>
      <c r="N7" s="16"/>
      <c r="O7" s="16"/>
      <c r="P7" s="1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11"/>
      <c r="AC7" s="6"/>
      <c r="AD7" s="13">
        <v>6</v>
      </c>
      <c r="AE7" s="71" t="s">
        <v>37</v>
      </c>
      <c r="AF7" s="72"/>
      <c r="AG7" s="14"/>
      <c r="AH7" s="14"/>
      <c r="AI7" s="14">
        <f t="shared" si="0"/>
        <v>0</v>
      </c>
      <c r="AJ7" s="29">
        <f t="shared" si="1"/>
        <v>0</v>
      </c>
      <c r="AK7" s="15"/>
      <c r="AL7" s="65"/>
      <c r="AM7" s="64"/>
    </row>
    <row r="8" spans="1:39" ht="14.25" customHeight="1" thickBot="1">
      <c r="A8" s="11"/>
      <c r="B8" s="21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22"/>
      <c r="AC8" s="6"/>
      <c r="AD8" s="13">
        <v>7</v>
      </c>
      <c r="AE8" s="71" t="s">
        <v>35</v>
      </c>
      <c r="AF8" s="72"/>
      <c r="AG8" s="14">
        <v>0.34861111111111109</v>
      </c>
      <c r="AH8" s="14">
        <v>0.48958333333333331</v>
      </c>
      <c r="AI8" s="14">
        <f t="shared" ref="AI8" si="2">AH8-AG8</f>
        <v>0.14097222222222222</v>
      </c>
      <c r="AJ8" s="29">
        <f t="shared" si="1"/>
        <v>3.3833333333333333</v>
      </c>
      <c r="AK8" s="15">
        <v>2</v>
      </c>
      <c r="AL8" s="63"/>
      <c r="AM8" s="64"/>
    </row>
    <row r="9" spans="1:3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13">
        <v>8</v>
      </c>
      <c r="AE9" s="71" t="s">
        <v>31</v>
      </c>
      <c r="AF9" s="72"/>
      <c r="AG9" s="14"/>
      <c r="AH9" s="14"/>
      <c r="AI9" s="14">
        <f t="shared" si="0"/>
        <v>0</v>
      </c>
      <c r="AJ9" s="29">
        <f t="shared" si="1"/>
        <v>0</v>
      </c>
      <c r="AK9" s="15"/>
      <c r="AL9" s="63"/>
      <c r="AM9" s="64"/>
    </row>
    <row r="10" spans="1:39" ht="14.25" customHeight="1" thickBot="1">
      <c r="A10" s="6"/>
      <c r="B10" s="7"/>
      <c r="C10" s="7"/>
      <c r="D10" s="66" t="s">
        <v>14</v>
      </c>
      <c r="E10" s="67"/>
      <c r="F10" s="67"/>
      <c r="G10" s="67"/>
      <c r="H10" s="67"/>
      <c r="I10" s="67"/>
      <c r="J10" s="67"/>
      <c r="K10" s="67"/>
      <c r="L10" s="67"/>
      <c r="M10" s="6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6"/>
      <c r="AD10" s="13">
        <v>9</v>
      </c>
      <c r="AE10" s="71" t="s">
        <v>34</v>
      </c>
      <c r="AF10" s="72"/>
      <c r="AG10" s="14"/>
      <c r="AH10" s="14"/>
      <c r="AI10" s="14">
        <f t="shared" si="0"/>
        <v>0</v>
      </c>
      <c r="AJ10" s="29">
        <f t="shared" si="1"/>
        <v>0</v>
      </c>
      <c r="AK10" s="15"/>
      <c r="AL10" s="63"/>
      <c r="AM10" s="64"/>
    </row>
    <row r="11" spans="1:39" ht="14.25" customHeight="1">
      <c r="A11" s="11"/>
      <c r="B11" s="6"/>
      <c r="C11" s="6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11"/>
      <c r="AC11" s="6"/>
      <c r="AD11" s="13">
        <v>10</v>
      </c>
      <c r="AE11" s="71" t="s">
        <v>32</v>
      </c>
      <c r="AF11" s="72"/>
      <c r="AG11" s="14"/>
      <c r="AH11" s="14"/>
      <c r="AI11" s="14">
        <f t="shared" si="0"/>
        <v>0</v>
      </c>
      <c r="AJ11" s="29">
        <f t="shared" si="1"/>
        <v>0</v>
      </c>
      <c r="AK11" s="15"/>
      <c r="AL11" s="63"/>
      <c r="AM11" s="64"/>
    </row>
    <row r="12" spans="1:39" ht="14.25" customHeight="1">
      <c r="A12" s="11"/>
      <c r="B12" s="6"/>
      <c r="C12" s="6" t="s">
        <v>15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11"/>
      <c r="AC12" s="6"/>
      <c r="AD12" s="13">
        <v>11</v>
      </c>
      <c r="AE12" s="71" t="s">
        <v>33</v>
      </c>
      <c r="AF12" s="72"/>
      <c r="AG12" s="14">
        <v>0.59027777777777779</v>
      </c>
      <c r="AH12" s="14">
        <v>0.68402777777777779</v>
      </c>
      <c r="AI12" s="14">
        <f t="shared" si="0"/>
        <v>9.375E-2</v>
      </c>
      <c r="AJ12" s="29">
        <f t="shared" si="1"/>
        <v>2.25</v>
      </c>
      <c r="AK12" s="15">
        <v>2</v>
      </c>
      <c r="AL12" s="63"/>
      <c r="AM12" s="64"/>
    </row>
    <row r="13" spans="1:39" ht="14.25" customHeight="1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11"/>
      <c r="AC13" s="6"/>
      <c r="AD13" s="13">
        <v>12</v>
      </c>
      <c r="AE13" s="71" t="s">
        <v>36</v>
      </c>
      <c r="AF13" s="72"/>
      <c r="AG13" s="14">
        <v>0.5756944444444444</v>
      </c>
      <c r="AH13" s="14">
        <v>0.70347222222222228</v>
      </c>
      <c r="AI13" s="14">
        <f t="shared" si="0"/>
        <v>0.12777777777777788</v>
      </c>
      <c r="AJ13" s="29">
        <f t="shared" si="1"/>
        <v>3.0666666666666669</v>
      </c>
      <c r="AK13" s="15">
        <v>2</v>
      </c>
      <c r="AL13" s="63"/>
      <c r="AM13" s="64"/>
    </row>
    <row r="14" spans="1:39" ht="14.25" customHeight="1">
      <c r="A14" s="11"/>
      <c r="B14" s="6"/>
      <c r="C14" s="6" t="s">
        <v>16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11"/>
      <c r="AC14" s="6"/>
      <c r="AD14" s="13">
        <v>13</v>
      </c>
      <c r="AE14" s="71" t="s">
        <v>37</v>
      </c>
      <c r="AF14" s="72"/>
      <c r="AG14" s="14"/>
      <c r="AH14" s="14"/>
      <c r="AI14" s="14">
        <f t="shared" si="0"/>
        <v>0</v>
      </c>
      <c r="AJ14" s="29">
        <f t="shared" si="1"/>
        <v>0</v>
      </c>
      <c r="AK14" s="15"/>
      <c r="AL14" s="63"/>
      <c r="AM14" s="64"/>
    </row>
    <row r="15" spans="1:39" ht="14.25" customHeight="1">
      <c r="A15" s="11"/>
      <c r="B15" s="6"/>
      <c r="C15" s="6" t="s">
        <v>17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11"/>
      <c r="AC15" s="6"/>
      <c r="AD15" s="13">
        <v>14</v>
      </c>
      <c r="AE15" s="71" t="s">
        <v>35</v>
      </c>
      <c r="AF15" s="72"/>
      <c r="AG15" s="14">
        <v>0.34722222222222221</v>
      </c>
      <c r="AH15" s="14">
        <v>0.48749999999999999</v>
      </c>
      <c r="AI15" s="14">
        <f t="shared" si="0"/>
        <v>0.14027777777777778</v>
      </c>
      <c r="AJ15" s="29">
        <f t="shared" si="1"/>
        <v>3.3666666666666667</v>
      </c>
      <c r="AK15" s="15">
        <v>2</v>
      </c>
      <c r="AL15" s="63"/>
      <c r="AM15" s="64"/>
    </row>
    <row r="16" spans="1:39" ht="14.25" customHeight="1">
      <c r="A16" s="11"/>
      <c r="B16" s="6"/>
      <c r="C16" s="6" t="s">
        <v>18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11"/>
      <c r="AC16" s="6"/>
      <c r="AD16" s="13">
        <v>15</v>
      </c>
      <c r="AE16" s="71" t="s">
        <v>31</v>
      </c>
      <c r="AF16" s="72"/>
      <c r="AG16" s="14"/>
      <c r="AH16" s="14"/>
      <c r="AI16" s="14">
        <f>AH16-AG16</f>
        <v>0</v>
      </c>
      <c r="AJ16" s="29">
        <f t="shared" si="1"/>
        <v>0</v>
      </c>
      <c r="AK16" s="15"/>
      <c r="AL16" s="63"/>
      <c r="AM16" s="64"/>
    </row>
    <row r="17" spans="1:40" ht="14.25" customHeight="1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1"/>
      <c r="AC17" s="6"/>
      <c r="AD17" s="13">
        <v>16</v>
      </c>
      <c r="AE17" s="71" t="s">
        <v>34</v>
      </c>
      <c r="AF17" s="72"/>
      <c r="AG17" s="14"/>
      <c r="AH17" s="14"/>
      <c r="AI17" s="14">
        <f t="shared" si="0"/>
        <v>0</v>
      </c>
      <c r="AJ17" s="29">
        <f t="shared" si="1"/>
        <v>0</v>
      </c>
      <c r="AK17" s="15"/>
      <c r="AL17" s="63"/>
      <c r="AM17" s="64"/>
    </row>
    <row r="18" spans="1:40" ht="14.25" customHeight="1">
      <c r="A18" s="11"/>
      <c r="B18" s="6"/>
      <c r="C18" s="6" t="s">
        <v>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11"/>
      <c r="AC18" s="6"/>
      <c r="AD18" s="13">
        <v>17</v>
      </c>
      <c r="AE18" s="71" t="s">
        <v>32</v>
      </c>
      <c r="AF18" s="72"/>
      <c r="AG18" s="14">
        <v>0.57916666666666672</v>
      </c>
      <c r="AH18" s="14">
        <v>0.71875</v>
      </c>
      <c r="AI18" s="14">
        <f t="shared" si="0"/>
        <v>0.13958333333333328</v>
      </c>
      <c r="AJ18" s="29">
        <f t="shared" si="1"/>
        <v>3.35</v>
      </c>
      <c r="AK18" s="15">
        <v>2</v>
      </c>
      <c r="AL18" s="63"/>
      <c r="AM18" s="64"/>
    </row>
    <row r="19" spans="1:40" ht="14.25" customHeight="1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1"/>
      <c r="AC19" s="6"/>
      <c r="AD19" s="13">
        <v>18</v>
      </c>
      <c r="AE19" s="71" t="s">
        <v>33</v>
      </c>
      <c r="AF19" s="72"/>
      <c r="AG19" s="14">
        <v>0.48749999999999999</v>
      </c>
      <c r="AH19" s="14">
        <v>0.59236111111111112</v>
      </c>
      <c r="AI19" s="14">
        <f t="shared" si="0"/>
        <v>0.10486111111111113</v>
      </c>
      <c r="AJ19" s="29">
        <f t="shared" si="1"/>
        <v>2.5166666666666666</v>
      </c>
      <c r="AK19" s="15">
        <v>2</v>
      </c>
      <c r="AL19" s="63"/>
      <c r="AM19" s="64"/>
    </row>
    <row r="20" spans="1:40" ht="14.25" customHeight="1">
      <c r="A20" s="11"/>
      <c r="B20" s="6"/>
      <c r="C20" s="6" t="s">
        <v>20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1"/>
      <c r="AC20" s="6"/>
      <c r="AD20" s="13">
        <v>19</v>
      </c>
      <c r="AE20" s="71" t="s">
        <v>36</v>
      </c>
      <c r="AF20" s="72"/>
      <c r="AG20" s="14">
        <v>0.57708333333333328</v>
      </c>
      <c r="AH20" s="14">
        <v>0.69305555555555554</v>
      </c>
      <c r="AI20" s="14">
        <f t="shared" si="0"/>
        <v>0.11597222222222225</v>
      </c>
      <c r="AJ20" s="29">
        <f t="shared" si="1"/>
        <v>2.7833333333333332</v>
      </c>
      <c r="AK20" s="15">
        <v>2</v>
      </c>
      <c r="AL20" s="63"/>
      <c r="AM20" s="64"/>
    </row>
    <row r="21" spans="1:40" ht="14.25" customHeight="1">
      <c r="A21" s="1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11"/>
      <c r="AC21" s="6"/>
      <c r="AD21" s="13">
        <v>20</v>
      </c>
      <c r="AE21" s="71" t="s">
        <v>37</v>
      </c>
      <c r="AF21" s="72"/>
      <c r="AG21" s="14">
        <v>0.68402777777777779</v>
      </c>
      <c r="AH21" s="14">
        <v>0.72916666666666663</v>
      </c>
      <c r="AI21" s="14">
        <f t="shared" si="0"/>
        <v>4.513888888888884E-2</v>
      </c>
      <c r="AJ21" s="29">
        <f t="shared" si="1"/>
        <v>1.0833333333333333</v>
      </c>
      <c r="AK21" s="15">
        <v>2</v>
      </c>
      <c r="AL21" s="65"/>
      <c r="AM21" s="64"/>
    </row>
    <row r="22" spans="1:40" ht="14.25" customHeight="1">
      <c r="A22" s="11"/>
      <c r="B22" s="6"/>
      <c r="C22" s="6" t="s">
        <v>21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11"/>
      <c r="AC22" s="6"/>
      <c r="AD22" s="13">
        <v>21</v>
      </c>
      <c r="AE22" s="71" t="s">
        <v>35</v>
      </c>
      <c r="AF22" s="72"/>
      <c r="AG22" s="14">
        <v>0.34027777777777779</v>
      </c>
      <c r="AH22" s="14">
        <v>0.49236111111111114</v>
      </c>
      <c r="AI22" s="14">
        <f t="shared" si="0"/>
        <v>0.15208333333333335</v>
      </c>
      <c r="AJ22" s="29">
        <f t="shared" si="1"/>
        <v>3.65</v>
      </c>
      <c r="AK22" s="15">
        <v>2</v>
      </c>
      <c r="AL22" s="63"/>
      <c r="AM22" s="64"/>
    </row>
    <row r="23" spans="1:40" ht="14.25" customHeight="1">
      <c r="A23" s="1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1"/>
      <c r="AC23" s="6"/>
      <c r="AD23" s="13">
        <v>22</v>
      </c>
      <c r="AE23" s="71" t="s">
        <v>31</v>
      </c>
      <c r="AF23" s="82"/>
      <c r="AG23" s="14"/>
      <c r="AH23" s="14"/>
      <c r="AI23" s="14">
        <f t="shared" si="0"/>
        <v>0</v>
      </c>
      <c r="AJ23" s="29">
        <f t="shared" si="1"/>
        <v>0</v>
      </c>
      <c r="AK23" s="15"/>
      <c r="AL23" s="63"/>
      <c r="AM23" s="64"/>
    </row>
    <row r="24" spans="1:40" ht="14.25" customHeight="1">
      <c r="A24" s="11"/>
      <c r="B24" s="6"/>
      <c r="C24" s="6" t="s">
        <v>22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11"/>
      <c r="AC24" s="6"/>
      <c r="AD24" s="13">
        <v>23</v>
      </c>
      <c r="AE24" s="71" t="s">
        <v>34</v>
      </c>
      <c r="AF24" s="82"/>
      <c r="AG24" s="14"/>
      <c r="AH24" s="14"/>
      <c r="AI24" s="14">
        <f t="shared" si="0"/>
        <v>0</v>
      </c>
      <c r="AJ24" s="29">
        <f t="shared" si="1"/>
        <v>0</v>
      </c>
      <c r="AK24" s="15"/>
      <c r="AL24" s="63"/>
      <c r="AM24" s="64"/>
    </row>
    <row r="25" spans="1:40" ht="14.25" customHeight="1">
      <c r="A25" s="1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1"/>
      <c r="AC25" s="6"/>
      <c r="AD25" s="13">
        <v>24</v>
      </c>
      <c r="AE25" s="71" t="s">
        <v>32</v>
      </c>
      <c r="AF25" s="82"/>
      <c r="AG25" s="14"/>
      <c r="AH25" s="14"/>
      <c r="AI25" s="14">
        <f t="shared" si="0"/>
        <v>0</v>
      </c>
      <c r="AJ25" s="29">
        <f>HOUR(AI25)+MINUTE(AI25)/60</f>
        <v>0</v>
      </c>
      <c r="AK25" s="15"/>
      <c r="AL25" s="63"/>
      <c r="AM25" s="64"/>
    </row>
    <row r="26" spans="1:40" ht="14.25" customHeight="1">
      <c r="A26" s="11"/>
      <c r="B26" s="6"/>
      <c r="C26" s="6" t="s">
        <v>23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11"/>
      <c r="AC26" s="6"/>
      <c r="AD26" s="13">
        <v>25</v>
      </c>
      <c r="AE26" s="71" t="s">
        <v>33</v>
      </c>
      <c r="AF26" s="72"/>
      <c r="AG26" s="14">
        <v>0.49375000000000002</v>
      </c>
      <c r="AH26" s="14">
        <v>0.58333333333333337</v>
      </c>
      <c r="AI26" s="14">
        <f t="shared" si="0"/>
        <v>8.9583333333333348E-2</v>
      </c>
      <c r="AJ26" s="29">
        <f>HOUR(AI26)+MINUTE(AI26)/60</f>
        <v>2.15</v>
      </c>
      <c r="AK26" s="15">
        <v>2</v>
      </c>
      <c r="AL26" s="63"/>
      <c r="AM26" s="64"/>
    </row>
    <row r="27" spans="1:40" ht="14.25" customHeight="1">
      <c r="A27" s="1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11"/>
      <c r="AC27" s="6"/>
      <c r="AD27" s="13">
        <v>26</v>
      </c>
      <c r="AE27" s="71" t="s">
        <v>36</v>
      </c>
      <c r="AF27" s="72"/>
      <c r="AG27" s="14">
        <v>0.58194444444444449</v>
      </c>
      <c r="AH27" s="14">
        <v>0.70486111111111116</v>
      </c>
      <c r="AI27" s="14">
        <f t="shared" si="0"/>
        <v>0.12291666666666667</v>
      </c>
      <c r="AJ27" s="29">
        <f>HOUR(AI27)+MINUTE(AI27)/60</f>
        <v>2.95</v>
      </c>
      <c r="AK27" s="15">
        <v>2</v>
      </c>
      <c r="AL27" s="63"/>
      <c r="AM27" s="64"/>
    </row>
    <row r="28" spans="1:40" ht="14.25" customHeight="1">
      <c r="A28" s="11"/>
      <c r="B28" s="6"/>
      <c r="C28" s="6" t="s">
        <v>24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11"/>
      <c r="AC28" s="6"/>
      <c r="AD28" s="13">
        <v>27</v>
      </c>
      <c r="AE28" s="71" t="s">
        <v>37</v>
      </c>
      <c r="AF28" s="72"/>
      <c r="AG28" s="14">
        <v>0.37777777777777777</v>
      </c>
      <c r="AH28" s="14">
        <v>0.58333333333333337</v>
      </c>
      <c r="AI28" s="14">
        <f t="shared" si="0"/>
        <v>0.2055555555555556</v>
      </c>
      <c r="AJ28" s="29">
        <f>HOUR(AI28)+MINUTE(AI28)/60</f>
        <v>4.9333333333333336</v>
      </c>
      <c r="AK28" s="15">
        <v>2</v>
      </c>
      <c r="AL28" s="63" t="s">
        <v>45</v>
      </c>
      <c r="AM28" s="64"/>
    </row>
    <row r="29" spans="1:40" ht="14.25" customHeight="1">
      <c r="A29" s="1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11"/>
      <c r="AC29" s="6"/>
      <c r="AD29" s="13">
        <v>28</v>
      </c>
      <c r="AE29" s="71" t="s">
        <v>35</v>
      </c>
      <c r="AF29" s="72"/>
      <c r="AG29" s="14">
        <v>0.34652777777777777</v>
      </c>
      <c r="AH29" s="14">
        <v>0.49027777777777776</v>
      </c>
      <c r="AI29" s="14">
        <f t="shared" si="0"/>
        <v>0.14374999999999999</v>
      </c>
      <c r="AJ29" s="29">
        <f t="shared" ref="AJ29:AJ32" si="3">HOUR(AI29)+MINUTE(AI29)/60</f>
        <v>3.45</v>
      </c>
      <c r="AK29" s="15">
        <v>2</v>
      </c>
      <c r="AL29" s="63"/>
      <c r="AM29" s="64"/>
    </row>
    <row r="30" spans="1:40" ht="14.25" customHeight="1">
      <c r="A30" s="11"/>
      <c r="B30" s="6"/>
      <c r="C30" s="6" t="s">
        <v>25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11"/>
      <c r="AC30" s="6"/>
      <c r="AD30" s="13">
        <v>29</v>
      </c>
      <c r="AE30" s="71" t="s">
        <v>31</v>
      </c>
      <c r="AF30" s="82"/>
      <c r="AG30" s="14"/>
      <c r="AH30" s="23"/>
      <c r="AI30" s="14">
        <f t="shared" si="0"/>
        <v>0</v>
      </c>
      <c r="AJ30" s="29">
        <f t="shared" si="3"/>
        <v>0</v>
      </c>
      <c r="AK30" s="15"/>
      <c r="AL30" s="63"/>
      <c r="AM30" s="64"/>
      <c r="AN30" s="28"/>
    </row>
    <row r="31" spans="1:40" ht="14.25" customHeight="1">
      <c r="A31" s="11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11"/>
      <c r="AC31" s="6"/>
      <c r="AD31" s="13">
        <v>30</v>
      </c>
      <c r="AE31" s="71" t="s">
        <v>34</v>
      </c>
      <c r="AF31" s="82"/>
      <c r="AG31" s="14"/>
      <c r="AH31" s="14"/>
      <c r="AI31" s="14">
        <f>AH31-AG31</f>
        <v>0</v>
      </c>
      <c r="AJ31" s="29">
        <f t="shared" si="3"/>
        <v>0</v>
      </c>
      <c r="AK31" s="15"/>
      <c r="AL31" s="63"/>
      <c r="AM31" s="64"/>
      <c r="AN31" s="27"/>
    </row>
    <row r="32" spans="1:40" ht="14.25" customHeight="1">
      <c r="A32" s="1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24" t="s">
        <v>26</v>
      </c>
      <c r="AB32" s="11"/>
      <c r="AC32" s="6"/>
      <c r="AD32" s="34">
        <v>31</v>
      </c>
      <c r="AE32" s="71" t="s">
        <v>32</v>
      </c>
      <c r="AF32" s="72"/>
      <c r="AG32" s="35"/>
      <c r="AH32" s="35"/>
      <c r="AI32" s="35">
        <f>AH32-AG32</f>
        <v>0</v>
      </c>
      <c r="AJ32" s="29">
        <f t="shared" si="3"/>
        <v>0</v>
      </c>
      <c r="AK32" s="36"/>
      <c r="AL32" s="37"/>
      <c r="AM32" s="38"/>
      <c r="AN32" s="27"/>
    </row>
    <row r="33" spans="1:40" ht="14.25" customHeight="1" thickBot="1">
      <c r="A33" s="11"/>
      <c r="B33" s="2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2"/>
      <c r="AC33" s="6"/>
      <c r="AD33" s="30"/>
      <c r="AE33" s="84" t="s">
        <v>28</v>
      </c>
      <c r="AF33" s="85"/>
      <c r="AG33" s="31"/>
      <c r="AH33" s="31"/>
      <c r="AI33" s="31"/>
      <c r="AJ33" s="32">
        <f>SUM(AJ2:AJ32)</f>
        <v>41.516666666666666</v>
      </c>
      <c r="AK33" s="33"/>
      <c r="AL33" s="87"/>
      <c r="AM33" s="88"/>
    </row>
    <row r="34" spans="1:40" ht="8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40" ht="16.5" customHeight="1" thickBo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86"/>
      <c r="AE35" s="86"/>
      <c r="AF35" s="86"/>
      <c r="AG35" s="86"/>
      <c r="AH35" s="86"/>
      <c r="AI35" s="86"/>
      <c r="AJ35" s="86"/>
      <c r="AK35" s="86"/>
      <c r="AL35" s="86"/>
      <c r="AM35" s="86"/>
    </row>
    <row r="36" spans="1:40" ht="11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16" t="s">
        <v>27</v>
      </c>
      <c r="L36" s="83" t="s">
        <v>44</v>
      </c>
      <c r="M36" s="79"/>
      <c r="N36" s="79"/>
      <c r="O36" s="79"/>
      <c r="P36" s="79"/>
      <c r="Q36" s="79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44"/>
      <c r="AE36" s="93"/>
      <c r="AF36" s="94"/>
      <c r="AG36" s="45"/>
      <c r="AH36" s="46"/>
      <c r="AI36" s="46"/>
      <c r="AJ36" s="46"/>
      <c r="AK36" s="46"/>
      <c r="AL36" s="46"/>
      <c r="AM36" s="46"/>
      <c r="AN36" s="47"/>
    </row>
    <row r="37" spans="1:40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48"/>
      <c r="AE37" s="96" t="s">
        <v>39</v>
      </c>
      <c r="AF37" s="81"/>
      <c r="AG37" s="82"/>
      <c r="AH37" s="49" t="s">
        <v>40</v>
      </c>
      <c r="AI37" s="50" t="s">
        <v>41</v>
      </c>
      <c r="AJ37" s="51"/>
      <c r="AK37" s="51"/>
      <c r="AL37" s="52" t="s">
        <v>42</v>
      </c>
      <c r="AM37" s="53" t="s">
        <v>43</v>
      </c>
      <c r="AN37" s="41"/>
    </row>
    <row r="38" spans="1:40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54" t="s">
        <v>28</v>
      </c>
      <c r="AE38" s="95"/>
      <c r="AF38" s="79"/>
      <c r="AG38" s="55"/>
      <c r="AH38" s="56"/>
      <c r="AI38" s="56"/>
      <c r="AJ38" s="57"/>
      <c r="AK38" s="57"/>
      <c r="AL38" s="56"/>
      <c r="AM38" s="58"/>
      <c r="AN38" s="41"/>
    </row>
    <row r="39" spans="1:40" ht="14.25" customHeight="1" thickBo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59"/>
      <c r="AE39" s="89"/>
      <c r="AF39" s="90"/>
      <c r="AG39" s="60"/>
      <c r="AH39" s="60"/>
      <c r="AI39" s="60"/>
      <c r="AJ39" s="40"/>
      <c r="AK39" s="40"/>
      <c r="AL39" s="61"/>
      <c r="AM39" s="61"/>
      <c r="AN39" s="62"/>
    </row>
    <row r="40" spans="1:40" ht="14.25" hidden="1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43"/>
      <c r="AE40" s="91"/>
      <c r="AF40" s="92"/>
      <c r="AG40" s="43"/>
      <c r="AH40" s="43"/>
      <c r="AI40" s="43"/>
      <c r="AJ40" s="39"/>
      <c r="AK40" s="39"/>
      <c r="AL40" s="42"/>
      <c r="AM40" s="42"/>
      <c r="AN40" s="42"/>
    </row>
    <row r="41" spans="1:40" ht="14.25" hidden="1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25"/>
      <c r="AE41" s="25"/>
      <c r="AF41" s="25"/>
      <c r="AG41" s="25"/>
      <c r="AH41" s="25"/>
      <c r="AI41" s="25"/>
      <c r="AJ41" s="6"/>
      <c r="AK41" s="19"/>
      <c r="AL41" s="19"/>
      <c r="AM41" s="19"/>
    </row>
    <row r="42" spans="1:40" ht="14.25" hidden="1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25"/>
      <c r="AE42" s="25"/>
      <c r="AF42" s="25"/>
      <c r="AG42" s="25"/>
      <c r="AH42" s="25" t="s">
        <v>29</v>
      </c>
      <c r="AI42" s="6" t="s">
        <v>30</v>
      </c>
      <c r="AJ42" s="6"/>
      <c r="AK42" s="19"/>
      <c r="AL42" s="26"/>
      <c r="AM42" s="19"/>
    </row>
    <row r="43" spans="1:40" ht="14.25" hidden="1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25"/>
      <c r="AE43" s="25"/>
      <c r="AF43" s="25"/>
      <c r="AG43" s="25"/>
      <c r="AH43" s="6"/>
      <c r="AI43" s="6"/>
      <c r="AJ43" s="6"/>
      <c r="AK43" s="26" t="e">
        <f>SUM(#REF!)</f>
        <v>#REF!</v>
      </c>
      <c r="AL43" s="19"/>
      <c r="AM43" s="19"/>
    </row>
    <row r="44" spans="1:40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25"/>
      <c r="AE44" s="25"/>
      <c r="AF44" s="25"/>
      <c r="AG44" s="25"/>
      <c r="AH44" s="25"/>
      <c r="AI44" s="25"/>
      <c r="AJ44" s="6"/>
      <c r="AK44" s="19"/>
      <c r="AL44" s="19"/>
      <c r="AM44" s="19"/>
    </row>
    <row r="45" spans="1:40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25"/>
      <c r="AE45" s="25"/>
      <c r="AF45" s="25"/>
      <c r="AG45" s="25"/>
      <c r="AH45" s="25"/>
      <c r="AI45" s="25"/>
      <c r="AJ45" s="6"/>
      <c r="AK45" s="19"/>
      <c r="AL45" s="19"/>
      <c r="AM45" s="19"/>
    </row>
    <row r="46" spans="1:40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25"/>
      <c r="AE46" s="25"/>
      <c r="AF46" s="25"/>
      <c r="AG46" s="25"/>
      <c r="AH46" s="25"/>
      <c r="AI46" s="25"/>
      <c r="AJ46" s="6"/>
      <c r="AK46" s="19"/>
      <c r="AL46" s="19"/>
      <c r="AM46" s="19"/>
    </row>
    <row r="47" spans="1:40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25"/>
      <c r="AE47" s="25"/>
      <c r="AF47" s="25"/>
      <c r="AG47" s="25"/>
      <c r="AH47" s="25"/>
      <c r="AI47" s="25"/>
      <c r="AJ47" s="6"/>
      <c r="AK47" s="19"/>
      <c r="AL47" s="19"/>
      <c r="AM47" s="19"/>
    </row>
    <row r="48" spans="1:40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25"/>
      <c r="AE48" s="25"/>
      <c r="AF48" s="25"/>
      <c r="AG48" s="25"/>
      <c r="AH48" s="25"/>
      <c r="AI48" s="25"/>
      <c r="AJ48" s="6"/>
      <c r="AK48" s="19"/>
      <c r="AL48" s="19"/>
      <c r="AM48" s="19"/>
    </row>
    <row r="49" spans="1:3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25"/>
      <c r="AE49" s="25"/>
      <c r="AF49" s="25"/>
      <c r="AG49" s="25"/>
      <c r="AH49" s="25"/>
      <c r="AI49" s="25"/>
      <c r="AJ49" s="6"/>
      <c r="AK49" s="19"/>
      <c r="AL49" s="19"/>
      <c r="AM49" s="19"/>
    </row>
    <row r="50" spans="1:39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25"/>
      <c r="AE50" s="25"/>
      <c r="AF50" s="25"/>
      <c r="AG50" s="25"/>
      <c r="AH50" s="25"/>
      <c r="AI50" s="25"/>
      <c r="AJ50" s="6"/>
      <c r="AK50" s="19"/>
      <c r="AL50" s="19"/>
      <c r="AM50" s="19"/>
    </row>
    <row r="51" spans="1:39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25"/>
      <c r="AE51" s="25"/>
      <c r="AF51" s="25"/>
      <c r="AG51" s="25"/>
      <c r="AH51" s="25"/>
      <c r="AI51" s="25"/>
      <c r="AJ51" s="6"/>
      <c r="AK51" s="19"/>
      <c r="AL51" s="19"/>
      <c r="AM51" s="19"/>
    </row>
    <row r="52" spans="1:39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25"/>
      <c r="AE52" s="25"/>
      <c r="AF52" s="25"/>
      <c r="AG52" s="25"/>
      <c r="AH52" s="25"/>
      <c r="AI52" s="25"/>
      <c r="AJ52" s="6"/>
      <c r="AK52" s="19"/>
      <c r="AL52" s="19"/>
      <c r="AM52" s="19"/>
    </row>
    <row r="53" spans="1:39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25"/>
      <c r="AE53" s="25"/>
      <c r="AF53" s="25"/>
      <c r="AG53" s="25"/>
      <c r="AH53" s="25"/>
      <c r="AI53" s="25"/>
      <c r="AJ53" s="6"/>
      <c r="AK53" s="19"/>
      <c r="AL53" s="19"/>
      <c r="AM53" s="19"/>
    </row>
    <row r="54" spans="1:39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25"/>
      <c r="AE54" s="25"/>
      <c r="AF54" s="25"/>
      <c r="AG54" s="25"/>
      <c r="AH54" s="25"/>
      <c r="AI54" s="25"/>
      <c r="AJ54" s="6"/>
      <c r="AK54" s="19"/>
      <c r="AL54" s="19"/>
      <c r="AM54" s="19"/>
    </row>
    <row r="55" spans="1:39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25"/>
      <c r="AE55" s="25"/>
      <c r="AF55" s="25"/>
      <c r="AG55" s="25"/>
      <c r="AH55" s="25"/>
      <c r="AI55" s="25"/>
      <c r="AJ55" s="6"/>
      <c r="AK55" s="19"/>
      <c r="AL55" s="19"/>
      <c r="AM55" s="19"/>
    </row>
    <row r="56" spans="1:39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25"/>
      <c r="AE56" s="25"/>
      <c r="AF56" s="25"/>
      <c r="AG56" s="25"/>
      <c r="AH56" s="25"/>
      <c r="AI56" s="25"/>
      <c r="AJ56" s="6"/>
      <c r="AK56" s="19"/>
      <c r="AL56" s="19"/>
      <c r="AM56" s="19"/>
    </row>
    <row r="57" spans="1:39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25"/>
      <c r="AE57" s="25"/>
      <c r="AF57" s="25"/>
      <c r="AG57" s="25"/>
      <c r="AH57" s="25"/>
      <c r="AI57" s="25"/>
      <c r="AJ57" s="6"/>
      <c r="AK57" s="19"/>
      <c r="AL57" s="19"/>
      <c r="AM57" s="19"/>
    </row>
    <row r="58" spans="1:39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25"/>
      <c r="AE58" s="25"/>
      <c r="AF58" s="25"/>
      <c r="AG58" s="25"/>
      <c r="AH58" s="25"/>
      <c r="AI58" s="25"/>
      <c r="AJ58" s="6"/>
      <c r="AK58" s="19"/>
      <c r="AL58" s="19"/>
      <c r="AM58" s="19"/>
    </row>
    <row r="59" spans="1:3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25"/>
      <c r="AE59" s="25"/>
      <c r="AF59" s="25"/>
      <c r="AG59" s="25"/>
      <c r="AH59" s="25"/>
      <c r="AI59" s="25"/>
      <c r="AJ59" s="6"/>
      <c r="AK59" s="19"/>
      <c r="AL59" s="19"/>
      <c r="AM59" s="19"/>
    </row>
    <row r="60" spans="1:39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25"/>
      <c r="AE60" s="25"/>
      <c r="AF60" s="25"/>
      <c r="AG60" s="25"/>
      <c r="AH60" s="25"/>
      <c r="AI60" s="25"/>
      <c r="AJ60" s="6"/>
      <c r="AK60" s="19"/>
      <c r="AL60" s="19"/>
      <c r="AM60" s="19"/>
    </row>
    <row r="61" spans="1:39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25"/>
      <c r="AE61" s="25"/>
      <c r="AF61" s="25"/>
      <c r="AG61" s="25"/>
      <c r="AH61" s="25"/>
      <c r="AI61" s="25"/>
      <c r="AJ61" s="6"/>
      <c r="AK61" s="19"/>
      <c r="AL61" s="19"/>
      <c r="AM61" s="19"/>
    </row>
    <row r="62" spans="1:39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25"/>
      <c r="AE62" s="25"/>
      <c r="AF62" s="25"/>
      <c r="AG62" s="25"/>
      <c r="AH62" s="25"/>
      <c r="AI62" s="25"/>
      <c r="AJ62" s="6"/>
      <c r="AK62" s="19"/>
      <c r="AL62" s="19"/>
      <c r="AM62" s="19"/>
    </row>
    <row r="63" spans="1:39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25"/>
      <c r="AE63" s="25"/>
      <c r="AF63" s="25"/>
      <c r="AG63" s="25"/>
      <c r="AH63" s="25"/>
      <c r="AI63" s="25"/>
      <c r="AJ63" s="6"/>
      <c r="AK63" s="19"/>
      <c r="AL63" s="19"/>
      <c r="AM63" s="19"/>
    </row>
    <row r="64" spans="1:39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25"/>
      <c r="AE64" s="25"/>
      <c r="AF64" s="25"/>
      <c r="AG64" s="25"/>
      <c r="AH64" s="25"/>
      <c r="AI64" s="25"/>
      <c r="AJ64" s="6"/>
      <c r="AK64" s="19"/>
      <c r="AL64" s="19"/>
      <c r="AM64" s="19"/>
    </row>
    <row r="65" spans="1:39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25"/>
      <c r="AE65" s="25"/>
      <c r="AF65" s="25"/>
      <c r="AG65" s="25"/>
      <c r="AH65" s="25"/>
      <c r="AI65" s="25"/>
      <c r="AJ65" s="6"/>
      <c r="AK65" s="19"/>
      <c r="AL65" s="19"/>
      <c r="AM65" s="19"/>
    </row>
    <row r="66" spans="1:39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25"/>
      <c r="AE66" s="25"/>
      <c r="AF66" s="25"/>
      <c r="AG66" s="25"/>
      <c r="AH66" s="25"/>
      <c r="AI66" s="25"/>
      <c r="AJ66" s="6"/>
      <c r="AK66" s="19"/>
      <c r="AL66" s="19"/>
      <c r="AM66" s="19"/>
    </row>
    <row r="67" spans="1:39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25"/>
      <c r="AE67" s="25"/>
      <c r="AF67" s="25"/>
      <c r="AG67" s="25"/>
      <c r="AH67" s="25"/>
      <c r="AI67" s="25"/>
      <c r="AJ67" s="6"/>
      <c r="AK67" s="19"/>
      <c r="AL67" s="19"/>
      <c r="AM67" s="19"/>
    </row>
    <row r="68" spans="1:39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25"/>
      <c r="AE68" s="25"/>
      <c r="AF68" s="25"/>
      <c r="AG68" s="25"/>
      <c r="AH68" s="25"/>
      <c r="AI68" s="25"/>
      <c r="AJ68" s="6"/>
      <c r="AK68" s="19"/>
      <c r="AL68" s="19"/>
      <c r="AM68" s="19"/>
    </row>
    <row r="69" spans="1:3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25"/>
      <c r="AE69" s="25"/>
      <c r="AF69" s="25"/>
      <c r="AG69" s="25"/>
      <c r="AH69" s="25"/>
      <c r="AI69" s="25"/>
      <c r="AJ69" s="6"/>
      <c r="AK69" s="19"/>
      <c r="AL69" s="19"/>
      <c r="AM69" s="19"/>
    </row>
    <row r="70" spans="1:39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25"/>
      <c r="AE70" s="25"/>
      <c r="AF70" s="25"/>
      <c r="AG70" s="25"/>
      <c r="AH70" s="25"/>
      <c r="AI70" s="25"/>
      <c r="AJ70" s="6"/>
      <c r="AK70" s="19"/>
      <c r="AL70" s="19"/>
      <c r="AM70" s="19"/>
    </row>
    <row r="71" spans="1:39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25"/>
      <c r="AE71" s="25"/>
      <c r="AF71" s="25"/>
      <c r="AG71" s="25"/>
      <c r="AH71" s="25"/>
      <c r="AI71" s="25"/>
      <c r="AJ71" s="6"/>
      <c r="AK71" s="19"/>
      <c r="AL71" s="19"/>
      <c r="AM71" s="19"/>
    </row>
    <row r="72" spans="1:39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25"/>
      <c r="AE72" s="25"/>
      <c r="AF72" s="25"/>
      <c r="AG72" s="25"/>
      <c r="AH72" s="25"/>
      <c r="AI72" s="25"/>
      <c r="AJ72" s="6"/>
      <c r="AK72" s="19"/>
      <c r="AL72" s="19"/>
      <c r="AM72" s="19"/>
    </row>
    <row r="73" spans="1:39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25"/>
      <c r="AE73" s="25"/>
      <c r="AF73" s="25"/>
      <c r="AG73" s="25"/>
      <c r="AH73" s="25"/>
      <c r="AI73" s="25"/>
      <c r="AJ73" s="6"/>
      <c r="AK73" s="19"/>
      <c r="AL73" s="19"/>
      <c r="AM73" s="19"/>
    </row>
    <row r="74" spans="1:39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25"/>
      <c r="AE74" s="25"/>
      <c r="AF74" s="25"/>
      <c r="AG74" s="25"/>
      <c r="AH74" s="25"/>
      <c r="AI74" s="25"/>
      <c r="AJ74" s="6"/>
      <c r="AK74" s="19"/>
      <c r="AL74" s="19"/>
      <c r="AM74" s="19"/>
    </row>
    <row r="75" spans="1:39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25"/>
      <c r="AE75" s="25"/>
      <c r="AF75" s="25"/>
      <c r="AG75" s="25"/>
      <c r="AH75" s="25"/>
      <c r="AI75" s="25"/>
      <c r="AJ75" s="6"/>
      <c r="AK75" s="19"/>
      <c r="AL75" s="19"/>
      <c r="AM75" s="19"/>
    </row>
    <row r="76" spans="1:39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25"/>
      <c r="AE76" s="25"/>
      <c r="AF76" s="25"/>
      <c r="AG76" s="25"/>
      <c r="AH76" s="25"/>
      <c r="AI76" s="25"/>
      <c r="AJ76" s="6"/>
      <c r="AK76" s="19"/>
      <c r="AL76" s="19"/>
      <c r="AM76" s="19"/>
    </row>
    <row r="77" spans="1:39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25"/>
      <c r="AE77" s="25"/>
      <c r="AF77" s="25"/>
      <c r="AG77" s="25"/>
      <c r="AH77" s="25"/>
      <c r="AI77" s="25"/>
      <c r="AJ77" s="6"/>
      <c r="AK77" s="19"/>
      <c r="AL77" s="19"/>
      <c r="AM77" s="19"/>
    </row>
    <row r="78" spans="1:39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25"/>
      <c r="AE78" s="25"/>
      <c r="AF78" s="25"/>
      <c r="AG78" s="25"/>
      <c r="AH78" s="25"/>
      <c r="AI78" s="25"/>
      <c r="AJ78" s="6"/>
      <c r="AK78" s="19"/>
      <c r="AL78" s="19"/>
      <c r="AM78" s="19"/>
    </row>
    <row r="79" spans="1:3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25"/>
      <c r="AE79" s="25"/>
      <c r="AF79" s="25"/>
      <c r="AG79" s="25"/>
      <c r="AH79" s="25"/>
      <c r="AI79" s="25"/>
      <c r="AJ79" s="6"/>
      <c r="AK79" s="19"/>
      <c r="AL79" s="19"/>
      <c r="AM79" s="19"/>
    </row>
    <row r="80" spans="1:39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25"/>
      <c r="AE80" s="25"/>
      <c r="AF80" s="25"/>
      <c r="AG80" s="25"/>
      <c r="AH80" s="25"/>
      <c r="AI80" s="25"/>
      <c r="AJ80" s="6"/>
      <c r="AK80" s="19"/>
      <c r="AL80" s="19"/>
      <c r="AM80" s="19"/>
    </row>
    <row r="81" spans="1:39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25"/>
      <c r="AE81" s="25"/>
      <c r="AF81" s="25"/>
      <c r="AG81" s="25"/>
      <c r="AH81" s="25"/>
      <c r="AI81" s="25"/>
      <c r="AJ81" s="6"/>
      <c r="AK81" s="19"/>
      <c r="AL81" s="19"/>
      <c r="AM81" s="19"/>
    </row>
    <row r="82" spans="1:39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25"/>
      <c r="AE82" s="25"/>
      <c r="AF82" s="25"/>
      <c r="AG82" s="25"/>
      <c r="AH82" s="25"/>
      <c r="AI82" s="25"/>
      <c r="AJ82" s="6"/>
      <c r="AK82" s="19"/>
      <c r="AL82" s="19"/>
      <c r="AM82" s="19"/>
    </row>
    <row r="83" spans="1:39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25"/>
      <c r="AE83" s="25"/>
      <c r="AF83" s="25"/>
      <c r="AG83" s="25"/>
      <c r="AH83" s="25"/>
      <c r="AI83" s="25"/>
      <c r="AJ83" s="6"/>
      <c r="AK83" s="19"/>
      <c r="AL83" s="19"/>
      <c r="AM83" s="19"/>
    </row>
    <row r="84" spans="1:39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25"/>
      <c r="AE84" s="25"/>
      <c r="AF84" s="25"/>
      <c r="AG84" s="25"/>
      <c r="AH84" s="25"/>
      <c r="AI84" s="25"/>
      <c r="AJ84" s="6"/>
      <c r="AK84" s="19"/>
      <c r="AL84" s="19"/>
      <c r="AM84" s="19"/>
    </row>
    <row r="85" spans="1:39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25"/>
      <c r="AE85" s="25"/>
      <c r="AF85" s="25"/>
      <c r="AG85" s="25"/>
      <c r="AH85" s="25"/>
      <c r="AI85" s="25"/>
      <c r="AJ85" s="6"/>
      <c r="AK85" s="19"/>
      <c r="AL85" s="19"/>
      <c r="AM85" s="19"/>
    </row>
    <row r="86" spans="1:39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25"/>
      <c r="AE86" s="25"/>
      <c r="AF86" s="25"/>
      <c r="AG86" s="25"/>
      <c r="AH86" s="25"/>
      <c r="AI86" s="25"/>
      <c r="AJ86" s="6"/>
      <c r="AK86" s="19"/>
      <c r="AL86" s="19"/>
      <c r="AM86" s="19"/>
    </row>
    <row r="87" spans="1:39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25"/>
      <c r="AE87" s="25"/>
      <c r="AF87" s="25"/>
      <c r="AG87" s="25"/>
      <c r="AH87" s="25"/>
      <c r="AI87" s="25"/>
      <c r="AJ87" s="6"/>
      <c r="AK87" s="19"/>
      <c r="AL87" s="19"/>
      <c r="AM87" s="19"/>
    </row>
    <row r="88" spans="1:39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25"/>
      <c r="AE88" s="25"/>
      <c r="AF88" s="25"/>
      <c r="AG88" s="25"/>
      <c r="AH88" s="25"/>
      <c r="AI88" s="25"/>
      <c r="AJ88" s="6"/>
      <c r="AK88" s="19"/>
      <c r="AL88" s="19"/>
      <c r="AM88" s="19"/>
    </row>
    <row r="89" spans="1:3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25"/>
      <c r="AE89" s="25"/>
      <c r="AF89" s="25"/>
      <c r="AG89" s="25"/>
      <c r="AH89" s="25"/>
      <c r="AI89" s="25"/>
      <c r="AJ89" s="6"/>
      <c r="AK89" s="19"/>
      <c r="AL89" s="19"/>
      <c r="AM89" s="19"/>
    </row>
    <row r="90" spans="1:39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25"/>
      <c r="AE90" s="25"/>
      <c r="AF90" s="25"/>
      <c r="AG90" s="25"/>
      <c r="AH90" s="25"/>
      <c r="AI90" s="25"/>
      <c r="AJ90" s="6"/>
      <c r="AK90" s="19"/>
      <c r="AL90" s="19"/>
      <c r="AM90" s="19"/>
    </row>
    <row r="91" spans="1:39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25"/>
      <c r="AE91" s="25"/>
      <c r="AF91" s="25"/>
      <c r="AG91" s="25"/>
      <c r="AH91" s="25"/>
      <c r="AI91" s="25"/>
      <c r="AJ91" s="6"/>
      <c r="AK91" s="19"/>
      <c r="AL91" s="19"/>
      <c r="AM91" s="19"/>
    </row>
    <row r="92" spans="1:39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25"/>
      <c r="AE92" s="25"/>
      <c r="AF92" s="25"/>
      <c r="AG92" s="25"/>
      <c r="AH92" s="25"/>
      <c r="AI92" s="25"/>
      <c r="AJ92" s="6"/>
      <c r="AK92" s="19"/>
      <c r="AL92" s="19"/>
      <c r="AM92" s="19"/>
    </row>
    <row r="93" spans="1:39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25"/>
      <c r="AE93" s="25"/>
      <c r="AF93" s="25"/>
      <c r="AG93" s="25"/>
      <c r="AH93" s="25"/>
      <c r="AI93" s="25"/>
      <c r="AJ93" s="6"/>
      <c r="AK93" s="19"/>
      <c r="AL93" s="19"/>
      <c r="AM93" s="19"/>
    </row>
    <row r="94" spans="1:39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25"/>
      <c r="AE94" s="25"/>
      <c r="AF94" s="25"/>
      <c r="AG94" s="25"/>
      <c r="AH94" s="25"/>
      <c r="AI94" s="25"/>
      <c r="AJ94" s="6"/>
      <c r="AK94" s="19"/>
      <c r="AL94" s="19"/>
      <c r="AM94" s="19"/>
    </row>
    <row r="95" spans="1:39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25"/>
      <c r="AE95" s="25"/>
      <c r="AF95" s="25"/>
      <c r="AG95" s="25"/>
      <c r="AH95" s="25"/>
      <c r="AI95" s="25"/>
      <c r="AJ95" s="6"/>
      <c r="AK95" s="19"/>
      <c r="AL95" s="19"/>
      <c r="AM95" s="19"/>
    </row>
    <row r="96" spans="1:39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25"/>
      <c r="AE96" s="25"/>
      <c r="AF96" s="25"/>
      <c r="AG96" s="25"/>
      <c r="AH96" s="25"/>
      <c r="AI96" s="25"/>
      <c r="AJ96" s="6"/>
      <c r="AK96" s="19"/>
      <c r="AL96" s="19"/>
      <c r="AM96" s="19"/>
    </row>
    <row r="97" spans="1:39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25"/>
      <c r="AE97" s="25"/>
      <c r="AF97" s="25"/>
      <c r="AG97" s="25"/>
      <c r="AH97" s="25"/>
      <c r="AI97" s="25"/>
      <c r="AJ97" s="6"/>
      <c r="AK97" s="19"/>
      <c r="AL97" s="19"/>
      <c r="AM97" s="19"/>
    </row>
    <row r="98" spans="1:39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25"/>
      <c r="AE98" s="25"/>
      <c r="AF98" s="25"/>
      <c r="AG98" s="25"/>
      <c r="AH98" s="25"/>
      <c r="AI98" s="25"/>
      <c r="AJ98" s="6"/>
      <c r="AK98" s="19"/>
      <c r="AL98" s="19"/>
      <c r="AM98" s="19"/>
    </row>
    <row r="99" spans="1:3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25"/>
      <c r="AE99" s="25"/>
      <c r="AF99" s="25"/>
      <c r="AG99" s="25"/>
      <c r="AH99" s="25"/>
      <c r="AI99" s="25"/>
      <c r="AJ99" s="6"/>
      <c r="AK99" s="19"/>
      <c r="AL99" s="19"/>
      <c r="AM99" s="19"/>
    </row>
    <row r="100" spans="1:39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25"/>
      <c r="AE100" s="25"/>
      <c r="AF100" s="25"/>
      <c r="AG100" s="25"/>
      <c r="AH100" s="25"/>
      <c r="AI100" s="25"/>
      <c r="AJ100" s="6"/>
      <c r="AK100" s="19"/>
      <c r="AL100" s="19"/>
      <c r="AM100" s="19"/>
    </row>
    <row r="101" spans="1:39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25"/>
      <c r="AE101" s="25"/>
      <c r="AF101" s="25"/>
      <c r="AG101" s="25"/>
      <c r="AH101" s="25"/>
      <c r="AI101" s="25"/>
      <c r="AJ101" s="6"/>
      <c r="AK101" s="19"/>
      <c r="AL101" s="19"/>
      <c r="AM101" s="19"/>
    </row>
    <row r="102" spans="1:39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25"/>
      <c r="AE102" s="25"/>
      <c r="AF102" s="25"/>
      <c r="AG102" s="25"/>
      <c r="AH102" s="25"/>
      <c r="AI102" s="25"/>
      <c r="AJ102" s="6"/>
      <c r="AK102" s="19"/>
      <c r="AL102" s="19"/>
      <c r="AM102" s="19"/>
    </row>
    <row r="103" spans="1:39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25"/>
      <c r="AE103" s="25"/>
      <c r="AF103" s="25"/>
      <c r="AG103" s="25"/>
      <c r="AH103" s="25"/>
      <c r="AI103" s="25"/>
      <c r="AJ103" s="6"/>
      <c r="AK103" s="19"/>
      <c r="AL103" s="19"/>
      <c r="AM103" s="19"/>
    </row>
    <row r="104" spans="1:39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25"/>
      <c r="AE104" s="25"/>
      <c r="AF104" s="25"/>
      <c r="AG104" s="25"/>
      <c r="AH104" s="25"/>
      <c r="AI104" s="25"/>
      <c r="AJ104" s="6"/>
      <c r="AK104" s="19"/>
      <c r="AL104" s="19"/>
      <c r="AM104" s="19"/>
    </row>
    <row r="105" spans="1:39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25"/>
      <c r="AE105" s="25"/>
      <c r="AF105" s="25"/>
      <c r="AG105" s="25"/>
      <c r="AH105" s="25"/>
      <c r="AI105" s="25"/>
      <c r="AJ105" s="6"/>
      <c r="AK105" s="19"/>
      <c r="AL105" s="19"/>
      <c r="AM105" s="19"/>
    </row>
    <row r="106" spans="1:39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25"/>
      <c r="AE106" s="25"/>
      <c r="AF106" s="25"/>
      <c r="AG106" s="25"/>
      <c r="AH106" s="25"/>
      <c r="AI106" s="25"/>
      <c r="AJ106" s="6"/>
      <c r="AK106" s="19"/>
      <c r="AL106" s="19"/>
      <c r="AM106" s="19"/>
    </row>
    <row r="107" spans="1:39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25"/>
      <c r="AE107" s="25"/>
      <c r="AF107" s="25"/>
      <c r="AG107" s="25"/>
      <c r="AH107" s="25"/>
      <c r="AI107" s="25"/>
      <c r="AJ107" s="6"/>
      <c r="AK107" s="19"/>
      <c r="AL107" s="19"/>
      <c r="AM107" s="19"/>
    </row>
    <row r="108" spans="1:39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25"/>
      <c r="AE108" s="25"/>
      <c r="AF108" s="25"/>
      <c r="AG108" s="25"/>
      <c r="AH108" s="25"/>
      <c r="AI108" s="25"/>
      <c r="AJ108" s="6"/>
      <c r="AK108" s="19"/>
      <c r="AL108" s="19"/>
      <c r="AM108" s="19"/>
    </row>
    <row r="109" spans="1:3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25"/>
      <c r="AE109" s="25"/>
      <c r="AF109" s="25"/>
      <c r="AG109" s="25"/>
      <c r="AH109" s="25"/>
      <c r="AI109" s="25"/>
      <c r="AJ109" s="6"/>
      <c r="AK109" s="19"/>
      <c r="AL109" s="19"/>
      <c r="AM109" s="19"/>
    </row>
    <row r="110" spans="1:39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25"/>
      <c r="AE110" s="25"/>
      <c r="AF110" s="25"/>
      <c r="AG110" s="25"/>
      <c r="AH110" s="25"/>
      <c r="AI110" s="25"/>
      <c r="AJ110" s="6"/>
      <c r="AK110" s="19"/>
      <c r="AL110" s="19"/>
      <c r="AM110" s="19"/>
    </row>
    <row r="111" spans="1:39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25"/>
      <c r="AE111" s="25"/>
      <c r="AF111" s="25"/>
      <c r="AG111" s="25"/>
      <c r="AH111" s="25"/>
      <c r="AI111" s="25"/>
      <c r="AJ111" s="6"/>
      <c r="AK111" s="19"/>
      <c r="AL111" s="19"/>
      <c r="AM111" s="19"/>
    </row>
    <row r="112" spans="1:39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25"/>
      <c r="AE112" s="25"/>
      <c r="AF112" s="25"/>
      <c r="AG112" s="25"/>
      <c r="AH112" s="25"/>
      <c r="AI112" s="25"/>
      <c r="AJ112" s="6"/>
      <c r="AK112" s="19"/>
      <c r="AL112" s="19"/>
      <c r="AM112" s="19"/>
    </row>
    <row r="113" spans="1:39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25"/>
      <c r="AE113" s="25"/>
      <c r="AF113" s="25"/>
      <c r="AG113" s="25"/>
      <c r="AH113" s="25"/>
      <c r="AI113" s="25"/>
      <c r="AJ113" s="6"/>
      <c r="AK113" s="19"/>
      <c r="AL113" s="19"/>
      <c r="AM113" s="19"/>
    </row>
    <row r="114" spans="1:39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25"/>
      <c r="AE114" s="25"/>
      <c r="AF114" s="25"/>
      <c r="AG114" s="25"/>
      <c r="AH114" s="25"/>
      <c r="AI114" s="25"/>
      <c r="AJ114" s="6"/>
      <c r="AK114" s="19"/>
      <c r="AL114" s="19"/>
      <c r="AM114" s="19"/>
    </row>
    <row r="115" spans="1:39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25"/>
      <c r="AE115" s="25"/>
      <c r="AF115" s="25"/>
      <c r="AG115" s="25"/>
      <c r="AH115" s="25"/>
      <c r="AI115" s="25"/>
      <c r="AJ115" s="6"/>
      <c r="AK115" s="19"/>
      <c r="AL115" s="19"/>
      <c r="AM115" s="19"/>
    </row>
    <row r="116" spans="1:39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25"/>
      <c r="AE116" s="25"/>
      <c r="AF116" s="25"/>
      <c r="AG116" s="25"/>
      <c r="AH116" s="25"/>
      <c r="AI116" s="25"/>
      <c r="AJ116" s="6"/>
      <c r="AK116" s="19"/>
      <c r="AL116" s="19"/>
      <c r="AM116" s="19"/>
    </row>
    <row r="117" spans="1:39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25"/>
      <c r="AE117" s="25"/>
      <c r="AF117" s="25"/>
      <c r="AG117" s="25"/>
      <c r="AH117" s="25"/>
      <c r="AI117" s="25"/>
      <c r="AJ117" s="6"/>
      <c r="AK117" s="19"/>
      <c r="AL117" s="19"/>
      <c r="AM117" s="19"/>
    </row>
    <row r="118" spans="1:39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25"/>
      <c r="AE118" s="25"/>
      <c r="AF118" s="25"/>
      <c r="AG118" s="25"/>
      <c r="AH118" s="25"/>
      <c r="AI118" s="25"/>
      <c r="AJ118" s="6"/>
      <c r="AK118" s="19"/>
      <c r="AL118" s="19"/>
      <c r="AM118" s="19"/>
    </row>
    <row r="119" spans="1:3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25"/>
      <c r="AE119" s="25"/>
      <c r="AF119" s="25"/>
      <c r="AG119" s="25"/>
      <c r="AH119" s="25"/>
      <c r="AI119" s="25"/>
      <c r="AJ119" s="6"/>
      <c r="AK119" s="19"/>
      <c r="AL119" s="19"/>
      <c r="AM119" s="19"/>
    </row>
    <row r="120" spans="1:39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25"/>
      <c r="AE120" s="25"/>
      <c r="AF120" s="25"/>
      <c r="AG120" s="25"/>
      <c r="AH120" s="25"/>
      <c r="AI120" s="25"/>
      <c r="AJ120" s="6"/>
      <c r="AK120" s="19"/>
      <c r="AL120" s="19"/>
      <c r="AM120" s="19"/>
    </row>
    <row r="121" spans="1:39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25"/>
      <c r="AE121" s="25"/>
      <c r="AF121" s="25"/>
      <c r="AG121" s="25"/>
      <c r="AH121" s="25"/>
      <c r="AI121" s="25"/>
      <c r="AJ121" s="6"/>
      <c r="AK121" s="19"/>
      <c r="AL121" s="19"/>
      <c r="AM121" s="19"/>
    </row>
    <row r="122" spans="1:39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25"/>
      <c r="AE122" s="25"/>
      <c r="AF122" s="25"/>
      <c r="AG122" s="25"/>
      <c r="AH122" s="25"/>
      <c r="AI122" s="25"/>
      <c r="AJ122" s="6"/>
      <c r="AK122" s="19"/>
      <c r="AL122" s="19"/>
      <c r="AM122" s="19"/>
    </row>
    <row r="123" spans="1:39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25"/>
      <c r="AE123" s="25"/>
      <c r="AF123" s="25"/>
      <c r="AG123" s="25"/>
      <c r="AH123" s="25"/>
      <c r="AI123" s="25"/>
      <c r="AJ123" s="6"/>
      <c r="AK123" s="19"/>
      <c r="AL123" s="19"/>
      <c r="AM123" s="19"/>
    </row>
    <row r="124" spans="1:39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25"/>
      <c r="AE124" s="25"/>
      <c r="AF124" s="25"/>
      <c r="AG124" s="25"/>
      <c r="AH124" s="25"/>
      <c r="AI124" s="25"/>
      <c r="AJ124" s="6"/>
      <c r="AK124" s="19"/>
      <c r="AL124" s="19"/>
      <c r="AM124" s="19"/>
    </row>
    <row r="125" spans="1:39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25"/>
      <c r="AE125" s="25"/>
      <c r="AF125" s="25"/>
      <c r="AG125" s="25"/>
      <c r="AH125" s="25"/>
      <c r="AI125" s="25"/>
      <c r="AJ125" s="6"/>
      <c r="AK125" s="19"/>
      <c r="AL125" s="19"/>
      <c r="AM125" s="19"/>
    </row>
    <row r="126" spans="1:39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25"/>
      <c r="AE126" s="25"/>
      <c r="AF126" s="25"/>
      <c r="AG126" s="25"/>
      <c r="AH126" s="25"/>
      <c r="AI126" s="25"/>
      <c r="AJ126" s="6"/>
      <c r="AK126" s="19"/>
      <c r="AL126" s="19"/>
      <c r="AM126" s="19"/>
    </row>
    <row r="127" spans="1:39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25"/>
      <c r="AE127" s="25"/>
      <c r="AF127" s="25"/>
      <c r="AG127" s="25"/>
      <c r="AH127" s="25"/>
      <c r="AI127" s="25"/>
      <c r="AJ127" s="6"/>
      <c r="AK127" s="19"/>
      <c r="AL127" s="19"/>
      <c r="AM127" s="19"/>
    </row>
    <row r="128" spans="1:39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25"/>
      <c r="AE128" s="25"/>
      <c r="AF128" s="25"/>
      <c r="AG128" s="25"/>
      <c r="AH128" s="25"/>
      <c r="AI128" s="25"/>
      <c r="AJ128" s="6"/>
      <c r="AK128" s="19"/>
      <c r="AL128" s="19"/>
      <c r="AM128" s="19"/>
    </row>
    <row r="129" spans="1:3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25"/>
      <c r="AE129" s="25"/>
      <c r="AF129" s="25"/>
      <c r="AG129" s="25"/>
      <c r="AH129" s="25"/>
      <c r="AI129" s="25"/>
      <c r="AJ129" s="6"/>
      <c r="AK129" s="19"/>
      <c r="AL129" s="19"/>
      <c r="AM129" s="19"/>
    </row>
    <row r="130" spans="1:39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25"/>
      <c r="AE130" s="25"/>
      <c r="AF130" s="25"/>
      <c r="AG130" s="25"/>
      <c r="AH130" s="25"/>
      <c r="AI130" s="25"/>
      <c r="AJ130" s="6"/>
      <c r="AK130" s="19"/>
      <c r="AL130" s="19"/>
      <c r="AM130" s="19"/>
    </row>
    <row r="131" spans="1:39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25"/>
      <c r="AE131" s="25"/>
      <c r="AF131" s="25"/>
      <c r="AG131" s="25"/>
      <c r="AH131" s="25"/>
      <c r="AI131" s="25"/>
      <c r="AJ131" s="6"/>
      <c r="AK131" s="19"/>
      <c r="AL131" s="19"/>
      <c r="AM131" s="19"/>
    </row>
    <row r="132" spans="1:39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25"/>
      <c r="AE132" s="25"/>
      <c r="AF132" s="25"/>
      <c r="AG132" s="25"/>
      <c r="AH132" s="25"/>
      <c r="AI132" s="25"/>
      <c r="AJ132" s="6"/>
      <c r="AK132" s="19"/>
      <c r="AL132" s="19"/>
      <c r="AM132" s="19"/>
    </row>
    <row r="133" spans="1:39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25"/>
      <c r="AE133" s="25"/>
      <c r="AF133" s="25"/>
      <c r="AG133" s="25"/>
      <c r="AH133" s="25"/>
      <c r="AI133" s="25"/>
      <c r="AJ133" s="6"/>
      <c r="AK133" s="19"/>
      <c r="AL133" s="19"/>
      <c r="AM133" s="19"/>
    </row>
    <row r="134" spans="1:39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25"/>
      <c r="AE134" s="25"/>
      <c r="AF134" s="25"/>
      <c r="AG134" s="25"/>
      <c r="AH134" s="25"/>
      <c r="AI134" s="25"/>
      <c r="AJ134" s="6"/>
      <c r="AK134" s="19"/>
      <c r="AL134" s="19"/>
      <c r="AM134" s="19"/>
    </row>
    <row r="135" spans="1:39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25"/>
      <c r="AE135" s="25"/>
      <c r="AF135" s="25"/>
      <c r="AG135" s="25"/>
      <c r="AH135" s="25"/>
      <c r="AI135" s="25"/>
      <c r="AJ135" s="6"/>
      <c r="AK135" s="19"/>
      <c r="AL135" s="19"/>
      <c r="AM135" s="19"/>
    </row>
    <row r="136" spans="1:39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25"/>
      <c r="AE136" s="25"/>
      <c r="AF136" s="25"/>
      <c r="AG136" s="25"/>
      <c r="AH136" s="25"/>
      <c r="AI136" s="25"/>
      <c r="AJ136" s="6"/>
      <c r="AK136" s="19"/>
      <c r="AL136" s="19"/>
      <c r="AM136" s="19"/>
    </row>
    <row r="137" spans="1:39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25"/>
      <c r="AE137" s="25"/>
      <c r="AF137" s="25"/>
      <c r="AG137" s="25"/>
      <c r="AH137" s="25"/>
      <c r="AI137" s="25"/>
      <c r="AJ137" s="6"/>
      <c r="AK137" s="19"/>
      <c r="AL137" s="19"/>
      <c r="AM137" s="19"/>
    </row>
    <row r="138" spans="1:39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25"/>
      <c r="AE138" s="25"/>
      <c r="AF138" s="25"/>
      <c r="AG138" s="25"/>
      <c r="AH138" s="25"/>
      <c r="AI138" s="25"/>
      <c r="AJ138" s="6"/>
      <c r="AK138" s="19"/>
      <c r="AL138" s="19"/>
      <c r="AM138" s="19"/>
    </row>
    <row r="139" spans="1: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25"/>
      <c r="AE139" s="25"/>
      <c r="AF139" s="25"/>
      <c r="AG139" s="25"/>
      <c r="AH139" s="25"/>
      <c r="AI139" s="25"/>
      <c r="AJ139" s="6"/>
      <c r="AK139" s="19"/>
      <c r="AL139" s="19"/>
      <c r="AM139" s="19"/>
    </row>
    <row r="140" spans="1:39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25"/>
      <c r="AE140" s="25"/>
      <c r="AF140" s="25"/>
      <c r="AG140" s="25"/>
      <c r="AH140" s="25"/>
      <c r="AI140" s="25"/>
      <c r="AJ140" s="6"/>
      <c r="AK140" s="19"/>
      <c r="AL140" s="19"/>
      <c r="AM140" s="19"/>
    </row>
    <row r="141" spans="1:39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25"/>
      <c r="AE141" s="25"/>
      <c r="AF141" s="25"/>
      <c r="AG141" s="25"/>
      <c r="AH141" s="25"/>
      <c r="AI141" s="25"/>
      <c r="AJ141" s="6"/>
      <c r="AK141" s="19"/>
      <c r="AL141" s="19"/>
      <c r="AM141" s="19"/>
    </row>
    <row r="142" spans="1:39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25"/>
      <c r="AE142" s="25"/>
      <c r="AF142" s="25"/>
      <c r="AG142" s="25"/>
      <c r="AH142" s="25"/>
      <c r="AI142" s="25"/>
      <c r="AJ142" s="6"/>
      <c r="AK142" s="19"/>
      <c r="AL142" s="19"/>
      <c r="AM142" s="19"/>
    </row>
    <row r="143" spans="1:39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25"/>
      <c r="AE143" s="25"/>
      <c r="AF143" s="25"/>
      <c r="AG143" s="25"/>
      <c r="AH143" s="25"/>
      <c r="AI143" s="25"/>
      <c r="AJ143" s="6"/>
      <c r="AK143" s="19"/>
      <c r="AL143" s="19"/>
      <c r="AM143" s="19"/>
    </row>
    <row r="144" spans="1:39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25"/>
      <c r="AE144" s="25"/>
      <c r="AF144" s="25"/>
      <c r="AG144" s="25"/>
      <c r="AH144" s="25"/>
      <c r="AI144" s="25"/>
      <c r="AJ144" s="6"/>
      <c r="AK144" s="19"/>
      <c r="AL144" s="19"/>
      <c r="AM144" s="19"/>
    </row>
    <row r="145" spans="1:39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25"/>
      <c r="AE145" s="25"/>
      <c r="AF145" s="25"/>
      <c r="AG145" s="25"/>
      <c r="AH145" s="25"/>
      <c r="AI145" s="25"/>
      <c r="AJ145" s="6"/>
      <c r="AK145" s="19"/>
      <c r="AL145" s="19"/>
      <c r="AM145" s="19"/>
    </row>
    <row r="146" spans="1:39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25"/>
      <c r="AE146" s="25"/>
      <c r="AF146" s="25"/>
      <c r="AG146" s="25"/>
      <c r="AH146" s="25"/>
      <c r="AI146" s="25"/>
      <c r="AJ146" s="6"/>
      <c r="AK146" s="19"/>
      <c r="AL146" s="19"/>
      <c r="AM146" s="19"/>
    </row>
    <row r="147" spans="1:39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25"/>
      <c r="AE147" s="25"/>
      <c r="AF147" s="25"/>
      <c r="AG147" s="25"/>
      <c r="AH147" s="25"/>
      <c r="AI147" s="25"/>
      <c r="AJ147" s="6"/>
      <c r="AK147" s="19"/>
      <c r="AL147" s="19"/>
      <c r="AM147" s="19"/>
    </row>
    <row r="148" spans="1:39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25"/>
      <c r="AE148" s="25"/>
      <c r="AF148" s="25"/>
      <c r="AG148" s="25"/>
      <c r="AH148" s="25"/>
      <c r="AI148" s="25"/>
      <c r="AJ148" s="6"/>
      <c r="AK148" s="19"/>
      <c r="AL148" s="19"/>
      <c r="AM148" s="19"/>
    </row>
    <row r="149" spans="1:3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25"/>
      <c r="AE149" s="25"/>
      <c r="AF149" s="25"/>
      <c r="AG149" s="25"/>
      <c r="AH149" s="25"/>
      <c r="AI149" s="25"/>
      <c r="AJ149" s="6"/>
      <c r="AK149" s="19"/>
      <c r="AL149" s="19"/>
      <c r="AM149" s="19"/>
    </row>
    <row r="150" spans="1:39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25"/>
      <c r="AE150" s="25"/>
      <c r="AF150" s="25"/>
      <c r="AG150" s="25"/>
      <c r="AH150" s="25"/>
      <c r="AI150" s="25"/>
      <c r="AJ150" s="6"/>
      <c r="AK150" s="19"/>
      <c r="AL150" s="19"/>
      <c r="AM150" s="19"/>
    </row>
    <row r="151" spans="1:39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25"/>
      <c r="AE151" s="25"/>
      <c r="AF151" s="25"/>
      <c r="AG151" s="25"/>
      <c r="AH151" s="25"/>
      <c r="AI151" s="25"/>
      <c r="AJ151" s="6"/>
      <c r="AK151" s="19"/>
      <c r="AL151" s="19"/>
      <c r="AM151" s="19"/>
    </row>
    <row r="152" spans="1:39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25"/>
      <c r="AE152" s="25"/>
      <c r="AF152" s="25"/>
      <c r="AG152" s="25"/>
      <c r="AH152" s="25"/>
      <c r="AI152" s="25"/>
      <c r="AJ152" s="6"/>
      <c r="AK152" s="19"/>
      <c r="AL152" s="19"/>
      <c r="AM152" s="19"/>
    </row>
    <row r="153" spans="1:39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25"/>
      <c r="AE153" s="25"/>
      <c r="AF153" s="25"/>
      <c r="AG153" s="25"/>
      <c r="AH153" s="25"/>
      <c r="AI153" s="25"/>
      <c r="AJ153" s="6"/>
      <c r="AK153" s="19"/>
      <c r="AL153" s="19"/>
      <c r="AM153" s="19"/>
    </row>
    <row r="154" spans="1:39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25"/>
      <c r="AE154" s="25"/>
      <c r="AF154" s="25"/>
      <c r="AG154" s="25"/>
      <c r="AH154" s="25"/>
      <c r="AI154" s="25"/>
      <c r="AJ154" s="6"/>
      <c r="AK154" s="19"/>
      <c r="AL154" s="19"/>
      <c r="AM154" s="19"/>
    </row>
    <row r="155" spans="1:39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25"/>
      <c r="AE155" s="25"/>
      <c r="AF155" s="25"/>
      <c r="AG155" s="25"/>
      <c r="AH155" s="25"/>
      <c r="AI155" s="25"/>
      <c r="AJ155" s="6"/>
      <c r="AK155" s="19"/>
      <c r="AL155" s="19"/>
      <c r="AM155" s="19"/>
    </row>
    <row r="156" spans="1:39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25"/>
      <c r="AE156" s="25"/>
      <c r="AF156" s="25"/>
      <c r="AG156" s="25"/>
      <c r="AH156" s="25"/>
      <c r="AI156" s="25"/>
      <c r="AJ156" s="6"/>
      <c r="AK156" s="19"/>
      <c r="AL156" s="19"/>
      <c r="AM156" s="19"/>
    </row>
    <row r="157" spans="1:39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25"/>
      <c r="AE157" s="25"/>
      <c r="AF157" s="25"/>
      <c r="AG157" s="25"/>
      <c r="AH157" s="25"/>
      <c r="AI157" s="25"/>
      <c r="AJ157" s="6"/>
      <c r="AK157" s="19"/>
      <c r="AL157" s="19"/>
      <c r="AM157" s="19"/>
    </row>
    <row r="158" spans="1:39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25"/>
      <c r="AE158" s="25"/>
      <c r="AF158" s="25"/>
      <c r="AG158" s="25"/>
      <c r="AH158" s="25"/>
      <c r="AI158" s="25"/>
      <c r="AJ158" s="6"/>
      <c r="AK158" s="19"/>
      <c r="AL158" s="19"/>
      <c r="AM158" s="19"/>
    </row>
    <row r="159" spans="1:3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25"/>
      <c r="AE159" s="25"/>
      <c r="AF159" s="25"/>
      <c r="AG159" s="25"/>
      <c r="AH159" s="25"/>
      <c r="AI159" s="25"/>
      <c r="AJ159" s="6"/>
      <c r="AK159" s="19"/>
      <c r="AL159" s="19"/>
      <c r="AM159" s="19"/>
    </row>
    <row r="160" spans="1:39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25"/>
      <c r="AE160" s="25"/>
      <c r="AF160" s="25"/>
      <c r="AG160" s="25"/>
      <c r="AH160" s="25"/>
      <c r="AI160" s="25"/>
      <c r="AJ160" s="6"/>
      <c r="AK160" s="19"/>
      <c r="AL160" s="19"/>
      <c r="AM160" s="19"/>
    </row>
    <row r="161" spans="1:39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25"/>
      <c r="AE161" s="25"/>
      <c r="AF161" s="25"/>
      <c r="AG161" s="25"/>
      <c r="AH161" s="25"/>
      <c r="AI161" s="25"/>
      <c r="AJ161" s="6"/>
      <c r="AK161" s="19"/>
      <c r="AL161" s="19"/>
      <c r="AM161" s="19"/>
    </row>
    <row r="162" spans="1:39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25"/>
      <c r="AE162" s="25"/>
      <c r="AF162" s="25"/>
      <c r="AG162" s="25"/>
      <c r="AH162" s="25"/>
      <c r="AI162" s="25"/>
      <c r="AJ162" s="6"/>
      <c r="AK162" s="19"/>
      <c r="AL162" s="19"/>
      <c r="AM162" s="19"/>
    </row>
    <row r="163" spans="1:39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25"/>
      <c r="AE163" s="25"/>
      <c r="AF163" s="25"/>
      <c r="AG163" s="25"/>
      <c r="AH163" s="25"/>
      <c r="AI163" s="25"/>
      <c r="AJ163" s="6"/>
      <c r="AK163" s="19"/>
      <c r="AL163" s="19"/>
      <c r="AM163" s="19"/>
    </row>
    <row r="164" spans="1:39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25"/>
      <c r="AE164" s="25"/>
      <c r="AF164" s="25"/>
      <c r="AG164" s="25"/>
      <c r="AH164" s="25"/>
      <c r="AI164" s="25"/>
      <c r="AJ164" s="6"/>
      <c r="AK164" s="19"/>
      <c r="AL164" s="19"/>
      <c r="AM164" s="19"/>
    </row>
    <row r="165" spans="1:39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25"/>
      <c r="AE165" s="25"/>
      <c r="AF165" s="25"/>
      <c r="AG165" s="25"/>
      <c r="AH165" s="25"/>
      <c r="AI165" s="25"/>
      <c r="AJ165" s="6"/>
      <c r="AK165" s="19"/>
      <c r="AL165" s="19"/>
      <c r="AM165" s="19"/>
    </row>
    <row r="166" spans="1:39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25"/>
      <c r="AE166" s="25"/>
      <c r="AF166" s="25"/>
      <c r="AG166" s="25"/>
      <c r="AH166" s="25"/>
      <c r="AI166" s="25"/>
      <c r="AJ166" s="6"/>
      <c r="AK166" s="19"/>
      <c r="AL166" s="19"/>
      <c r="AM166" s="19"/>
    </row>
    <row r="167" spans="1:39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25"/>
      <c r="AE167" s="25"/>
      <c r="AF167" s="25"/>
      <c r="AG167" s="25"/>
      <c r="AH167" s="25"/>
      <c r="AI167" s="25"/>
      <c r="AJ167" s="6"/>
      <c r="AK167" s="19"/>
      <c r="AL167" s="19"/>
      <c r="AM167" s="19"/>
    </row>
    <row r="168" spans="1:39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25"/>
      <c r="AE168" s="25"/>
      <c r="AF168" s="25"/>
      <c r="AG168" s="25"/>
      <c r="AH168" s="25"/>
      <c r="AI168" s="25"/>
      <c r="AJ168" s="6"/>
      <c r="AK168" s="19"/>
      <c r="AL168" s="19"/>
      <c r="AM168" s="19"/>
    </row>
    <row r="169" spans="1:3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25"/>
      <c r="AE169" s="25"/>
      <c r="AF169" s="25"/>
      <c r="AG169" s="25"/>
      <c r="AH169" s="25"/>
      <c r="AI169" s="25"/>
      <c r="AJ169" s="6"/>
      <c r="AK169" s="19"/>
      <c r="AL169" s="19"/>
      <c r="AM169" s="19"/>
    </row>
    <row r="170" spans="1:39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25"/>
      <c r="AE170" s="25"/>
      <c r="AF170" s="25"/>
      <c r="AG170" s="25"/>
      <c r="AH170" s="25"/>
      <c r="AI170" s="25"/>
      <c r="AJ170" s="6"/>
      <c r="AK170" s="19"/>
      <c r="AL170" s="19"/>
      <c r="AM170" s="19"/>
    </row>
    <row r="171" spans="1:39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25"/>
      <c r="AE171" s="25"/>
      <c r="AF171" s="25"/>
      <c r="AG171" s="25"/>
      <c r="AH171" s="25"/>
      <c r="AI171" s="25"/>
      <c r="AJ171" s="6"/>
      <c r="AK171" s="19"/>
      <c r="AL171" s="19"/>
      <c r="AM171" s="19"/>
    </row>
    <row r="172" spans="1:39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25"/>
      <c r="AE172" s="25"/>
      <c r="AF172" s="25"/>
      <c r="AG172" s="25"/>
      <c r="AH172" s="25"/>
      <c r="AI172" s="25"/>
      <c r="AJ172" s="6"/>
      <c r="AK172" s="19"/>
      <c r="AL172" s="19"/>
      <c r="AM172" s="19"/>
    </row>
    <row r="173" spans="1:39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25"/>
      <c r="AE173" s="25"/>
      <c r="AF173" s="25"/>
      <c r="AG173" s="25"/>
      <c r="AH173" s="25"/>
      <c r="AI173" s="25"/>
      <c r="AJ173" s="6"/>
      <c r="AK173" s="19"/>
      <c r="AL173" s="19"/>
      <c r="AM173" s="19"/>
    </row>
    <row r="174" spans="1:39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25"/>
      <c r="AE174" s="25"/>
      <c r="AF174" s="25"/>
      <c r="AG174" s="25"/>
      <c r="AH174" s="25"/>
      <c r="AI174" s="25"/>
      <c r="AJ174" s="6"/>
      <c r="AK174" s="19"/>
      <c r="AL174" s="19"/>
      <c r="AM174" s="19"/>
    </row>
    <row r="175" spans="1:39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25"/>
      <c r="AE175" s="25"/>
      <c r="AF175" s="25"/>
      <c r="AG175" s="25"/>
      <c r="AH175" s="25"/>
      <c r="AI175" s="25"/>
      <c r="AJ175" s="6"/>
      <c r="AK175" s="19"/>
      <c r="AL175" s="19"/>
      <c r="AM175" s="19"/>
    </row>
    <row r="176" spans="1:39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25"/>
      <c r="AE176" s="25"/>
      <c r="AF176" s="25"/>
      <c r="AG176" s="25"/>
      <c r="AH176" s="25"/>
      <c r="AI176" s="25"/>
      <c r="AJ176" s="6"/>
      <c r="AK176" s="19"/>
      <c r="AL176" s="19"/>
      <c r="AM176" s="19"/>
    </row>
    <row r="177" spans="1:39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25"/>
      <c r="AE177" s="25"/>
      <c r="AF177" s="25"/>
      <c r="AG177" s="25"/>
      <c r="AH177" s="25"/>
      <c r="AI177" s="25"/>
      <c r="AJ177" s="6"/>
      <c r="AK177" s="19"/>
      <c r="AL177" s="19"/>
      <c r="AM177" s="19"/>
    </row>
    <row r="178" spans="1:39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25"/>
      <c r="AE178" s="25"/>
      <c r="AF178" s="25"/>
      <c r="AG178" s="25"/>
      <c r="AH178" s="25"/>
      <c r="AI178" s="25"/>
      <c r="AJ178" s="6"/>
      <c r="AK178" s="19"/>
      <c r="AL178" s="19"/>
      <c r="AM178" s="19"/>
    </row>
    <row r="179" spans="1:3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25"/>
      <c r="AE179" s="25"/>
      <c r="AF179" s="25"/>
      <c r="AG179" s="25"/>
      <c r="AH179" s="25"/>
      <c r="AI179" s="25"/>
      <c r="AJ179" s="6"/>
      <c r="AK179" s="19"/>
      <c r="AL179" s="19"/>
      <c r="AM179" s="19"/>
    </row>
    <row r="180" spans="1:39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25"/>
      <c r="AE180" s="25"/>
      <c r="AF180" s="25"/>
      <c r="AG180" s="25"/>
      <c r="AH180" s="25"/>
      <c r="AI180" s="25"/>
      <c r="AJ180" s="6"/>
      <c r="AK180" s="19"/>
      <c r="AL180" s="19"/>
      <c r="AM180" s="19"/>
    </row>
    <row r="181" spans="1:39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25"/>
      <c r="AE181" s="25"/>
      <c r="AF181" s="25"/>
      <c r="AG181" s="25"/>
      <c r="AH181" s="25"/>
      <c r="AI181" s="25"/>
      <c r="AJ181" s="6"/>
      <c r="AK181" s="19"/>
      <c r="AL181" s="19"/>
      <c r="AM181" s="19"/>
    </row>
    <row r="182" spans="1:39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25"/>
      <c r="AE182" s="25"/>
      <c r="AF182" s="25"/>
      <c r="AG182" s="25"/>
      <c r="AH182" s="25"/>
      <c r="AI182" s="25"/>
      <c r="AJ182" s="6"/>
      <c r="AK182" s="19"/>
      <c r="AL182" s="19"/>
      <c r="AM182" s="19"/>
    </row>
    <row r="183" spans="1:39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25"/>
      <c r="AE183" s="25"/>
      <c r="AF183" s="25"/>
      <c r="AG183" s="25"/>
      <c r="AH183" s="25"/>
      <c r="AI183" s="25"/>
      <c r="AJ183" s="6"/>
      <c r="AK183" s="19"/>
      <c r="AL183" s="19"/>
      <c r="AM183" s="19"/>
    </row>
    <row r="184" spans="1:39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25"/>
      <c r="AE184" s="25"/>
      <c r="AF184" s="25"/>
      <c r="AG184" s="25"/>
      <c r="AH184" s="25"/>
      <c r="AI184" s="25"/>
      <c r="AJ184" s="6"/>
      <c r="AK184" s="19"/>
      <c r="AL184" s="19"/>
      <c r="AM184" s="19"/>
    </row>
    <row r="185" spans="1:39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25"/>
      <c r="AE185" s="25"/>
      <c r="AF185" s="25"/>
      <c r="AG185" s="25"/>
      <c r="AH185" s="25"/>
      <c r="AI185" s="25"/>
      <c r="AJ185" s="6"/>
      <c r="AK185" s="19"/>
      <c r="AL185" s="19"/>
      <c r="AM185" s="19"/>
    </row>
    <row r="186" spans="1:39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25"/>
      <c r="AE186" s="25"/>
      <c r="AF186" s="25"/>
      <c r="AG186" s="25"/>
      <c r="AH186" s="25"/>
      <c r="AI186" s="25"/>
      <c r="AJ186" s="6"/>
      <c r="AK186" s="19"/>
      <c r="AL186" s="19"/>
      <c r="AM186" s="19"/>
    </row>
    <row r="187" spans="1:39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25"/>
      <c r="AE187" s="25"/>
      <c r="AF187" s="25"/>
      <c r="AG187" s="25"/>
      <c r="AH187" s="25"/>
      <c r="AI187" s="25"/>
      <c r="AJ187" s="6"/>
      <c r="AK187" s="19"/>
      <c r="AL187" s="19"/>
      <c r="AM187" s="19"/>
    </row>
    <row r="188" spans="1:39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25"/>
      <c r="AE188" s="25"/>
      <c r="AF188" s="25"/>
      <c r="AG188" s="25"/>
      <c r="AH188" s="25"/>
      <c r="AI188" s="25"/>
      <c r="AJ188" s="6"/>
      <c r="AK188" s="19"/>
      <c r="AL188" s="19"/>
      <c r="AM188" s="19"/>
    </row>
    <row r="189" spans="1:3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25"/>
      <c r="AE189" s="25"/>
      <c r="AF189" s="25"/>
      <c r="AG189" s="25"/>
      <c r="AH189" s="25"/>
      <c r="AI189" s="25"/>
      <c r="AJ189" s="6"/>
      <c r="AK189" s="19"/>
      <c r="AL189" s="19"/>
      <c r="AM189" s="19"/>
    </row>
    <row r="190" spans="1:39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25"/>
      <c r="AE190" s="25"/>
      <c r="AF190" s="25"/>
      <c r="AG190" s="25"/>
      <c r="AH190" s="25"/>
      <c r="AI190" s="25"/>
      <c r="AJ190" s="6"/>
      <c r="AK190" s="19"/>
      <c r="AL190" s="19"/>
      <c r="AM190" s="19"/>
    </row>
    <row r="191" spans="1:39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25"/>
      <c r="AE191" s="25"/>
      <c r="AF191" s="25"/>
      <c r="AG191" s="25"/>
      <c r="AH191" s="25"/>
      <c r="AI191" s="25"/>
      <c r="AJ191" s="6"/>
      <c r="AK191" s="19"/>
      <c r="AL191" s="19"/>
      <c r="AM191" s="19"/>
    </row>
    <row r="192" spans="1:39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25"/>
      <c r="AE192" s="25"/>
      <c r="AF192" s="25"/>
      <c r="AG192" s="25"/>
      <c r="AH192" s="25"/>
      <c r="AI192" s="25"/>
      <c r="AJ192" s="6"/>
      <c r="AK192" s="19"/>
      <c r="AL192" s="19"/>
      <c r="AM192" s="19"/>
    </row>
    <row r="193" spans="1:39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25"/>
      <c r="AE193" s="25"/>
      <c r="AF193" s="25"/>
      <c r="AG193" s="25"/>
      <c r="AH193" s="25"/>
      <c r="AI193" s="25"/>
      <c r="AJ193" s="6"/>
      <c r="AK193" s="19"/>
      <c r="AL193" s="19"/>
      <c r="AM193" s="19"/>
    </row>
    <row r="194" spans="1:39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25"/>
      <c r="AE194" s="25"/>
      <c r="AF194" s="25"/>
      <c r="AG194" s="25"/>
      <c r="AH194" s="25"/>
      <c r="AI194" s="25"/>
      <c r="AJ194" s="6"/>
      <c r="AK194" s="19"/>
      <c r="AL194" s="19"/>
      <c r="AM194" s="19"/>
    </row>
    <row r="195" spans="1:39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25"/>
      <c r="AE195" s="25"/>
      <c r="AF195" s="25"/>
      <c r="AG195" s="25"/>
      <c r="AH195" s="25"/>
      <c r="AI195" s="25"/>
      <c r="AJ195" s="6"/>
      <c r="AK195" s="19"/>
      <c r="AL195" s="19"/>
      <c r="AM195" s="19"/>
    </row>
    <row r="196" spans="1:39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25"/>
      <c r="AE196" s="25"/>
      <c r="AF196" s="25"/>
      <c r="AG196" s="25"/>
      <c r="AH196" s="25"/>
      <c r="AI196" s="25"/>
      <c r="AJ196" s="6"/>
      <c r="AK196" s="19"/>
      <c r="AL196" s="19"/>
      <c r="AM196" s="19"/>
    </row>
    <row r="197" spans="1:39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25"/>
      <c r="AE197" s="25"/>
      <c r="AF197" s="25"/>
      <c r="AG197" s="25"/>
      <c r="AH197" s="25"/>
      <c r="AI197" s="25"/>
      <c r="AJ197" s="6"/>
      <c r="AK197" s="19"/>
      <c r="AL197" s="19"/>
      <c r="AM197" s="19"/>
    </row>
    <row r="198" spans="1:39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25"/>
      <c r="AE198" s="25"/>
      <c r="AF198" s="25"/>
      <c r="AG198" s="25"/>
      <c r="AH198" s="25"/>
      <c r="AI198" s="25"/>
      <c r="AJ198" s="6"/>
      <c r="AK198" s="19"/>
      <c r="AL198" s="19"/>
      <c r="AM198" s="19"/>
    </row>
    <row r="199" spans="1:3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25"/>
      <c r="AE199" s="25"/>
      <c r="AF199" s="25"/>
      <c r="AG199" s="25"/>
      <c r="AH199" s="25"/>
      <c r="AI199" s="25"/>
      <c r="AJ199" s="6"/>
      <c r="AK199" s="19"/>
      <c r="AL199" s="19"/>
      <c r="AM199" s="19"/>
    </row>
    <row r="200" spans="1:39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25"/>
      <c r="AE200" s="25"/>
      <c r="AF200" s="25"/>
      <c r="AG200" s="25"/>
      <c r="AH200" s="25"/>
      <c r="AI200" s="25"/>
      <c r="AJ200" s="6"/>
      <c r="AK200" s="19"/>
      <c r="AL200" s="19"/>
      <c r="AM200" s="19"/>
    </row>
    <row r="201" spans="1:39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25"/>
      <c r="AE201" s="25"/>
      <c r="AF201" s="25"/>
      <c r="AG201" s="25"/>
      <c r="AH201" s="25"/>
      <c r="AI201" s="25"/>
      <c r="AJ201" s="6"/>
      <c r="AK201" s="19"/>
      <c r="AL201" s="19"/>
      <c r="AM201" s="19"/>
    </row>
    <row r="202" spans="1:39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25"/>
      <c r="AE202" s="25"/>
      <c r="AF202" s="25"/>
      <c r="AG202" s="25"/>
      <c r="AH202" s="25"/>
      <c r="AI202" s="25"/>
      <c r="AJ202" s="6"/>
      <c r="AK202" s="19"/>
      <c r="AL202" s="19"/>
      <c r="AM202" s="19"/>
    </row>
    <row r="203" spans="1:39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25"/>
      <c r="AE203" s="25"/>
      <c r="AF203" s="25"/>
      <c r="AG203" s="25"/>
      <c r="AH203" s="25"/>
      <c r="AI203" s="25"/>
      <c r="AJ203" s="6"/>
      <c r="AK203" s="19"/>
      <c r="AL203" s="19"/>
      <c r="AM203" s="19"/>
    </row>
    <row r="204" spans="1:39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25"/>
      <c r="AE204" s="25"/>
      <c r="AF204" s="25"/>
      <c r="AG204" s="25"/>
      <c r="AH204" s="25"/>
      <c r="AI204" s="25"/>
      <c r="AJ204" s="6"/>
      <c r="AK204" s="19"/>
      <c r="AL204" s="19"/>
      <c r="AM204" s="19"/>
    </row>
    <row r="205" spans="1:39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25"/>
      <c r="AE205" s="25"/>
      <c r="AF205" s="25"/>
      <c r="AG205" s="25"/>
      <c r="AH205" s="25"/>
      <c r="AI205" s="25"/>
      <c r="AJ205" s="6"/>
      <c r="AK205" s="19"/>
      <c r="AL205" s="19"/>
      <c r="AM205" s="19"/>
    </row>
    <row r="206" spans="1:39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25"/>
      <c r="AE206" s="25"/>
      <c r="AF206" s="25"/>
      <c r="AG206" s="25"/>
      <c r="AH206" s="25"/>
      <c r="AI206" s="25"/>
      <c r="AJ206" s="6"/>
      <c r="AK206" s="19"/>
      <c r="AL206" s="19"/>
      <c r="AM206" s="19"/>
    </row>
    <row r="207" spans="1:39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25"/>
      <c r="AE207" s="25"/>
      <c r="AF207" s="25"/>
      <c r="AG207" s="25"/>
      <c r="AH207" s="25"/>
      <c r="AI207" s="25"/>
      <c r="AJ207" s="6"/>
      <c r="AK207" s="19"/>
      <c r="AL207" s="19"/>
      <c r="AM207" s="19"/>
    </row>
    <row r="208" spans="1:39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25"/>
      <c r="AE208" s="25"/>
      <c r="AF208" s="25"/>
      <c r="AG208" s="25"/>
      <c r="AH208" s="25"/>
      <c r="AI208" s="25"/>
      <c r="AJ208" s="6"/>
      <c r="AK208" s="19"/>
      <c r="AL208" s="19"/>
      <c r="AM208" s="19"/>
    </row>
    <row r="209" spans="1:3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25"/>
      <c r="AE209" s="25"/>
      <c r="AF209" s="25"/>
      <c r="AG209" s="25"/>
      <c r="AH209" s="25"/>
      <c r="AI209" s="25"/>
      <c r="AJ209" s="6"/>
      <c r="AK209" s="19"/>
      <c r="AL209" s="19"/>
      <c r="AM209" s="19"/>
    </row>
    <row r="210" spans="1:39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25"/>
      <c r="AE210" s="25"/>
      <c r="AF210" s="25"/>
      <c r="AG210" s="25"/>
      <c r="AH210" s="25"/>
      <c r="AI210" s="25"/>
      <c r="AJ210" s="6"/>
      <c r="AK210" s="19"/>
      <c r="AL210" s="19"/>
      <c r="AM210" s="19"/>
    </row>
    <row r="211" spans="1:39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25"/>
      <c r="AE211" s="25"/>
      <c r="AF211" s="25"/>
      <c r="AG211" s="25"/>
      <c r="AH211" s="25"/>
      <c r="AI211" s="25"/>
      <c r="AJ211" s="6"/>
      <c r="AK211" s="19"/>
      <c r="AL211" s="19"/>
      <c r="AM211" s="19"/>
    </row>
    <row r="212" spans="1:39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25"/>
      <c r="AE212" s="25"/>
      <c r="AF212" s="25"/>
      <c r="AG212" s="25"/>
      <c r="AH212" s="25"/>
      <c r="AI212" s="25"/>
      <c r="AJ212" s="6"/>
      <c r="AK212" s="19"/>
      <c r="AL212" s="19"/>
      <c r="AM212" s="19"/>
    </row>
    <row r="213" spans="1:39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25"/>
      <c r="AE213" s="25"/>
      <c r="AF213" s="25"/>
      <c r="AG213" s="25"/>
      <c r="AH213" s="25"/>
      <c r="AI213" s="25"/>
      <c r="AJ213" s="6"/>
      <c r="AK213" s="19"/>
      <c r="AL213" s="19"/>
      <c r="AM213" s="19"/>
    </row>
    <row r="214" spans="1:39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25"/>
      <c r="AE214" s="25"/>
      <c r="AF214" s="25"/>
      <c r="AG214" s="25"/>
      <c r="AH214" s="25"/>
      <c r="AI214" s="25"/>
      <c r="AJ214" s="6"/>
      <c r="AK214" s="19"/>
      <c r="AL214" s="19"/>
      <c r="AM214" s="19"/>
    </row>
    <row r="215" spans="1:39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25"/>
      <c r="AE215" s="25"/>
      <c r="AF215" s="25"/>
      <c r="AG215" s="25"/>
      <c r="AH215" s="25"/>
      <c r="AI215" s="25"/>
      <c r="AJ215" s="6"/>
      <c r="AK215" s="19"/>
      <c r="AL215" s="19"/>
      <c r="AM215" s="19"/>
    </row>
    <row r="216" spans="1:39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25"/>
      <c r="AE216" s="25"/>
      <c r="AF216" s="25"/>
      <c r="AG216" s="25"/>
      <c r="AH216" s="25"/>
      <c r="AI216" s="25"/>
      <c r="AJ216" s="6"/>
      <c r="AK216" s="19"/>
      <c r="AL216" s="19"/>
      <c r="AM216" s="19"/>
    </row>
    <row r="217" spans="1:39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25"/>
      <c r="AE217" s="25"/>
      <c r="AF217" s="25"/>
      <c r="AG217" s="25"/>
      <c r="AH217" s="25"/>
      <c r="AI217" s="25"/>
      <c r="AJ217" s="6"/>
      <c r="AK217" s="19"/>
      <c r="AL217" s="19"/>
      <c r="AM217" s="19"/>
    </row>
    <row r="218" spans="1:39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25"/>
      <c r="AE218" s="25"/>
      <c r="AF218" s="25"/>
      <c r="AG218" s="25"/>
      <c r="AH218" s="25"/>
      <c r="AI218" s="25"/>
      <c r="AJ218" s="6"/>
      <c r="AK218" s="19"/>
      <c r="AL218" s="19"/>
      <c r="AM218" s="19"/>
    </row>
    <row r="219" spans="1:3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25"/>
      <c r="AE219" s="25"/>
      <c r="AF219" s="25"/>
      <c r="AG219" s="25"/>
      <c r="AH219" s="25"/>
      <c r="AI219" s="25"/>
      <c r="AJ219" s="6"/>
      <c r="AK219" s="19"/>
      <c r="AL219" s="19"/>
      <c r="AM219" s="19"/>
    </row>
    <row r="220" spans="1:39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25"/>
      <c r="AE220" s="25"/>
      <c r="AF220" s="25"/>
      <c r="AG220" s="25"/>
      <c r="AH220" s="25"/>
      <c r="AI220" s="25"/>
      <c r="AJ220" s="6"/>
      <c r="AK220" s="19"/>
      <c r="AL220" s="19"/>
      <c r="AM220" s="19"/>
    </row>
    <row r="221" spans="1:39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25"/>
      <c r="AE221" s="25"/>
      <c r="AF221" s="25"/>
      <c r="AG221" s="25"/>
      <c r="AH221" s="25"/>
      <c r="AI221" s="25"/>
      <c r="AJ221" s="6"/>
      <c r="AK221" s="19"/>
      <c r="AL221" s="19"/>
      <c r="AM221" s="19"/>
    </row>
    <row r="222" spans="1:39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25"/>
      <c r="AE222" s="25"/>
      <c r="AF222" s="25"/>
      <c r="AG222" s="25"/>
      <c r="AH222" s="25"/>
      <c r="AI222" s="25"/>
      <c r="AJ222" s="6"/>
      <c r="AK222" s="19"/>
      <c r="AL222" s="19"/>
      <c r="AM222" s="19"/>
    </row>
    <row r="223" spans="1:39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25"/>
      <c r="AE223" s="25"/>
      <c r="AF223" s="25"/>
      <c r="AG223" s="25"/>
      <c r="AH223" s="25"/>
      <c r="AI223" s="25"/>
      <c r="AJ223" s="6"/>
      <c r="AK223" s="19"/>
      <c r="AL223" s="19"/>
      <c r="AM223" s="19"/>
    </row>
    <row r="224" spans="1:39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25"/>
      <c r="AE224" s="25"/>
      <c r="AF224" s="25"/>
      <c r="AG224" s="25"/>
      <c r="AH224" s="25"/>
      <c r="AI224" s="25"/>
      <c r="AJ224" s="6"/>
      <c r="AK224" s="19"/>
      <c r="AL224" s="19"/>
      <c r="AM224" s="19"/>
    </row>
    <row r="225" spans="1:39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25"/>
      <c r="AE225" s="25"/>
      <c r="AF225" s="25"/>
      <c r="AG225" s="25"/>
      <c r="AH225" s="25"/>
      <c r="AI225" s="25"/>
      <c r="AJ225" s="6"/>
      <c r="AK225" s="19"/>
      <c r="AL225" s="19"/>
      <c r="AM225" s="19"/>
    </row>
    <row r="226" spans="1:39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25"/>
      <c r="AE226" s="25"/>
      <c r="AF226" s="25"/>
      <c r="AG226" s="25"/>
      <c r="AH226" s="25"/>
      <c r="AI226" s="25"/>
      <c r="AJ226" s="6"/>
      <c r="AK226" s="19"/>
      <c r="AL226" s="19"/>
      <c r="AM226" s="19"/>
    </row>
    <row r="227" spans="1:39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25"/>
      <c r="AE227" s="25"/>
      <c r="AF227" s="25"/>
      <c r="AG227" s="25"/>
      <c r="AH227" s="25"/>
      <c r="AI227" s="25"/>
      <c r="AJ227" s="6"/>
      <c r="AK227" s="19"/>
      <c r="AL227" s="19"/>
      <c r="AM227" s="19"/>
    </row>
    <row r="228" spans="1:39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25"/>
      <c r="AE228" s="25"/>
      <c r="AF228" s="25"/>
      <c r="AG228" s="25"/>
      <c r="AH228" s="25"/>
      <c r="AI228" s="25"/>
      <c r="AJ228" s="6"/>
      <c r="AK228" s="19"/>
      <c r="AL228" s="19"/>
      <c r="AM228" s="19"/>
    </row>
    <row r="229" spans="1:3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25"/>
      <c r="AE229" s="25"/>
      <c r="AF229" s="25"/>
      <c r="AG229" s="25"/>
      <c r="AH229" s="25"/>
      <c r="AI229" s="25"/>
      <c r="AJ229" s="6"/>
      <c r="AK229" s="19"/>
      <c r="AL229" s="19"/>
      <c r="AM229" s="19"/>
    </row>
    <row r="230" spans="1:39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25"/>
      <c r="AE230" s="25"/>
      <c r="AF230" s="25"/>
      <c r="AG230" s="25"/>
      <c r="AH230" s="25"/>
      <c r="AI230" s="25"/>
      <c r="AJ230" s="6"/>
      <c r="AK230" s="19"/>
      <c r="AL230" s="19"/>
      <c r="AM230" s="19"/>
    </row>
    <row r="231" spans="1:39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25"/>
      <c r="AE231" s="25"/>
      <c r="AF231" s="25"/>
      <c r="AG231" s="25"/>
      <c r="AH231" s="25"/>
      <c r="AI231" s="25"/>
      <c r="AJ231" s="6"/>
      <c r="AK231" s="19"/>
      <c r="AL231" s="19"/>
      <c r="AM231" s="19"/>
    </row>
    <row r="232" spans="1:39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25"/>
      <c r="AE232" s="25"/>
      <c r="AF232" s="25"/>
      <c r="AG232" s="25"/>
      <c r="AH232" s="25"/>
      <c r="AI232" s="25"/>
      <c r="AJ232" s="6"/>
      <c r="AK232" s="19"/>
      <c r="AL232" s="19"/>
      <c r="AM232" s="19"/>
    </row>
    <row r="233" spans="1:39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25"/>
      <c r="AE233" s="25"/>
      <c r="AF233" s="25"/>
      <c r="AG233" s="25"/>
      <c r="AH233" s="25"/>
      <c r="AI233" s="25"/>
      <c r="AJ233" s="6"/>
      <c r="AK233" s="19"/>
      <c r="AL233" s="19"/>
      <c r="AM233" s="19"/>
    </row>
    <row r="234" spans="1:39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25"/>
      <c r="AE234" s="25"/>
      <c r="AF234" s="25"/>
      <c r="AG234" s="25"/>
      <c r="AH234" s="25"/>
      <c r="AI234" s="25"/>
      <c r="AJ234" s="6"/>
      <c r="AK234" s="19"/>
      <c r="AL234" s="19"/>
      <c r="AM234" s="19"/>
    </row>
    <row r="235" spans="1:39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25"/>
      <c r="AE235" s="25"/>
      <c r="AF235" s="25"/>
      <c r="AG235" s="25"/>
      <c r="AH235" s="25"/>
      <c r="AI235" s="25"/>
      <c r="AJ235" s="6"/>
      <c r="AK235" s="19"/>
      <c r="AL235" s="19"/>
      <c r="AM235" s="19"/>
    </row>
    <row r="236" spans="1:39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25"/>
      <c r="AE236" s="25"/>
      <c r="AF236" s="25"/>
      <c r="AG236" s="25"/>
      <c r="AH236" s="25"/>
      <c r="AI236" s="25"/>
      <c r="AJ236" s="6"/>
      <c r="AK236" s="19"/>
      <c r="AL236" s="19"/>
      <c r="AM236" s="19"/>
    </row>
    <row r="237" spans="1:39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25"/>
      <c r="AE237" s="25"/>
      <c r="AF237" s="25"/>
      <c r="AG237" s="25"/>
      <c r="AH237" s="25"/>
      <c r="AI237" s="25"/>
      <c r="AJ237" s="6"/>
      <c r="AK237" s="19"/>
      <c r="AL237" s="19"/>
      <c r="AM237" s="19"/>
    </row>
    <row r="238" spans="1:39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25"/>
      <c r="AE238" s="25"/>
      <c r="AF238" s="25"/>
      <c r="AG238" s="25"/>
      <c r="AH238" s="25"/>
      <c r="AI238" s="25"/>
      <c r="AJ238" s="6"/>
      <c r="AK238" s="19"/>
      <c r="AL238" s="19"/>
      <c r="AM238" s="19"/>
    </row>
    <row r="239" spans="1: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25"/>
      <c r="AE239" s="25"/>
      <c r="AF239" s="25"/>
      <c r="AG239" s="25"/>
      <c r="AH239" s="25"/>
      <c r="AI239" s="25"/>
      <c r="AJ239" s="6"/>
      <c r="AK239" s="19"/>
      <c r="AL239" s="19"/>
      <c r="AM239" s="19"/>
    </row>
    <row r="240" spans="1:39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25"/>
      <c r="AE240" s="25"/>
      <c r="AF240" s="25"/>
      <c r="AG240" s="25"/>
      <c r="AH240" s="25"/>
      <c r="AI240" s="25"/>
      <c r="AJ240" s="6"/>
      <c r="AK240" s="19"/>
      <c r="AL240" s="19"/>
      <c r="AM240" s="19"/>
    </row>
    <row r="241" spans="1:39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25"/>
      <c r="AE241" s="25"/>
      <c r="AF241" s="25"/>
      <c r="AG241" s="25"/>
      <c r="AH241" s="25"/>
      <c r="AI241" s="25"/>
      <c r="AJ241" s="6"/>
      <c r="AK241" s="19"/>
      <c r="AL241" s="19"/>
      <c r="AM241" s="19"/>
    </row>
    <row r="242" spans="1:39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25"/>
      <c r="AE242" s="25"/>
      <c r="AF242" s="25"/>
      <c r="AG242" s="25"/>
      <c r="AH242" s="25"/>
      <c r="AI242" s="25"/>
      <c r="AJ242" s="6"/>
      <c r="AK242" s="19"/>
      <c r="AL242" s="19"/>
      <c r="AM242" s="19"/>
    </row>
    <row r="243" spans="1:39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25"/>
      <c r="AE243" s="25"/>
      <c r="AF243" s="25"/>
      <c r="AG243" s="25"/>
      <c r="AH243" s="25"/>
      <c r="AI243" s="25"/>
      <c r="AJ243" s="6"/>
      <c r="AK243" s="19"/>
      <c r="AL243" s="19"/>
      <c r="AM243" s="19"/>
    </row>
    <row r="244" spans="1:39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25"/>
      <c r="AE244" s="25"/>
      <c r="AF244" s="25"/>
      <c r="AG244" s="25"/>
      <c r="AH244" s="25"/>
      <c r="AI244" s="25"/>
      <c r="AJ244" s="6"/>
      <c r="AK244" s="19"/>
      <c r="AL244" s="19"/>
      <c r="AM244" s="19"/>
    </row>
    <row r="245" spans="1:39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25"/>
      <c r="AE245" s="25"/>
      <c r="AF245" s="25"/>
      <c r="AG245" s="25"/>
      <c r="AH245" s="25"/>
      <c r="AI245" s="25"/>
      <c r="AJ245" s="6"/>
      <c r="AK245" s="19"/>
      <c r="AL245" s="19"/>
      <c r="AM245" s="19"/>
    </row>
    <row r="246" spans="1:39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25"/>
      <c r="AE246" s="25"/>
      <c r="AF246" s="25"/>
      <c r="AG246" s="25"/>
      <c r="AH246" s="25"/>
      <c r="AI246" s="25"/>
      <c r="AJ246" s="6"/>
      <c r="AK246" s="19"/>
      <c r="AL246" s="19"/>
      <c r="AM246" s="19"/>
    </row>
    <row r="247" spans="1:39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25"/>
      <c r="AE247" s="25"/>
      <c r="AF247" s="25"/>
      <c r="AG247" s="25"/>
      <c r="AH247" s="25"/>
      <c r="AI247" s="25"/>
      <c r="AJ247" s="6"/>
      <c r="AK247" s="19"/>
      <c r="AL247" s="19"/>
      <c r="AM247" s="19"/>
    </row>
    <row r="248" spans="1:39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25"/>
      <c r="AE248" s="25"/>
      <c r="AF248" s="25"/>
      <c r="AG248" s="25"/>
      <c r="AH248" s="25"/>
      <c r="AI248" s="25"/>
      <c r="AJ248" s="6"/>
      <c r="AK248" s="19"/>
      <c r="AL248" s="19"/>
      <c r="AM248" s="19"/>
    </row>
    <row r="249" spans="1:3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25"/>
      <c r="AE249" s="25"/>
      <c r="AF249" s="25"/>
      <c r="AG249" s="25"/>
      <c r="AH249" s="25"/>
      <c r="AI249" s="25"/>
      <c r="AJ249" s="6"/>
      <c r="AK249" s="19"/>
      <c r="AL249" s="19"/>
      <c r="AM249" s="19"/>
    </row>
    <row r="250" spans="1:39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25"/>
      <c r="AE250" s="25"/>
      <c r="AF250" s="25"/>
      <c r="AG250" s="25"/>
      <c r="AH250" s="25"/>
      <c r="AI250" s="25"/>
      <c r="AJ250" s="6"/>
      <c r="AK250" s="19"/>
      <c r="AL250" s="19"/>
      <c r="AM250" s="19"/>
    </row>
    <row r="251" spans="1:39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25"/>
      <c r="AE251" s="25"/>
      <c r="AF251" s="25"/>
      <c r="AG251" s="25"/>
      <c r="AH251" s="25"/>
      <c r="AI251" s="25"/>
      <c r="AJ251" s="6"/>
      <c r="AK251" s="19"/>
      <c r="AL251" s="19"/>
      <c r="AM251" s="19"/>
    </row>
    <row r="252" spans="1:39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25"/>
      <c r="AE252" s="25"/>
      <c r="AF252" s="25"/>
      <c r="AG252" s="25"/>
      <c r="AH252" s="25"/>
      <c r="AI252" s="25"/>
      <c r="AJ252" s="6"/>
      <c r="AK252" s="19"/>
      <c r="AL252" s="19"/>
      <c r="AM252" s="19"/>
    </row>
    <row r="253" spans="1:39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25"/>
      <c r="AE253" s="25"/>
      <c r="AF253" s="25"/>
      <c r="AG253" s="25"/>
      <c r="AH253" s="25"/>
      <c r="AI253" s="25"/>
      <c r="AJ253" s="6"/>
      <c r="AK253" s="19"/>
      <c r="AL253" s="19"/>
      <c r="AM253" s="19"/>
    </row>
    <row r="254" spans="1:39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25"/>
      <c r="AE254" s="25"/>
      <c r="AF254" s="25"/>
      <c r="AG254" s="25"/>
      <c r="AH254" s="25"/>
      <c r="AI254" s="25"/>
      <c r="AJ254" s="6"/>
      <c r="AK254" s="19"/>
      <c r="AL254" s="19"/>
      <c r="AM254" s="19"/>
    </row>
    <row r="255" spans="1:39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25"/>
      <c r="AE255" s="25"/>
      <c r="AF255" s="25"/>
      <c r="AG255" s="25"/>
      <c r="AH255" s="25"/>
      <c r="AI255" s="25"/>
      <c r="AJ255" s="6"/>
      <c r="AK255" s="19"/>
      <c r="AL255" s="19"/>
      <c r="AM255" s="19"/>
    </row>
    <row r="256" spans="1:39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25"/>
      <c r="AE256" s="25"/>
      <c r="AF256" s="25"/>
      <c r="AG256" s="25"/>
      <c r="AH256" s="25"/>
      <c r="AI256" s="25"/>
      <c r="AJ256" s="6"/>
      <c r="AK256" s="19"/>
      <c r="AL256" s="19"/>
      <c r="AM256" s="19"/>
    </row>
    <row r="257" spans="1:39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25"/>
      <c r="AE257" s="25"/>
      <c r="AF257" s="25"/>
      <c r="AG257" s="25"/>
      <c r="AH257" s="25"/>
      <c r="AI257" s="25"/>
      <c r="AJ257" s="6"/>
      <c r="AK257" s="19"/>
      <c r="AL257" s="19"/>
      <c r="AM257" s="19"/>
    </row>
    <row r="258" spans="1:39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25"/>
      <c r="AE258" s="25"/>
      <c r="AF258" s="25"/>
      <c r="AG258" s="25"/>
      <c r="AH258" s="25"/>
      <c r="AI258" s="25"/>
      <c r="AJ258" s="6"/>
      <c r="AK258" s="19"/>
      <c r="AL258" s="19"/>
      <c r="AM258" s="19"/>
    </row>
    <row r="259" spans="1:3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25"/>
      <c r="AE259" s="25"/>
      <c r="AF259" s="25"/>
      <c r="AG259" s="25"/>
      <c r="AH259" s="25"/>
      <c r="AI259" s="25"/>
      <c r="AJ259" s="6"/>
      <c r="AK259" s="19"/>
      <c r="AL259" s="19"/>
      <c r="AM259" s="19"/>
    </row>
    <row r="260" spans="1:39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25"/>
      <c r="AE260" s="25"/>
      <c r="AF260" s="25"/>
      <c r="AG260" s="25"/>
      <c r="AH260" s="25"/>
      <c r="AI260" s="25"/>
      <c r="AJ260" s="6"/>
      <c r="AK260" s="19"/>
      <c r="AL260" s="19"/>
      <c r="AM260" s="19"/>
    </row>
    <row r="261" spans="1:39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25"/>
      <c r="AE261" s="25"/>
      <c r="AF261" s="25"/>
      <c r="AG261" s="25"/>
      <c r="AH261" s="25"/>
      <c r="AI261" s="25"/>
      <c r="AJ261" s="6"/>
      <c r="AK261" s="19"/>
      <c r="AL261" s="19"/>
      <c r="AM261" s="19"/>
    </row>
    <row r="262" spans="1:39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25"/>
      <c r="AE262" s="25"/>
      <c r="AF262" s="25"/>
      <c r="AG262" s="25"/>
      <c r="AH262" s="25"/>
      <c r="AI262" s="25"/>
      <c r="AJ262" s="6"/>
      <c r="AK262" s="19"/>
      <c r="AL262" s="19"/>
      <c r="AM262" s="19"/>
    </row>
    <row r="263" spans="1:39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25"/>
      <c r="AE263" s="25"/>
      <c r="AF263" s="25"/>
      <c r="AG263" s="25"/>
      <c r="AH263" s="25"/>
      <c r="AI263" s="25"/>
      <c r="AJ263" s="6"/>
      <c r="AK263" s="19"/>
      <c r="AL263" s="19"/>
      <c r="AM263" s="19"/>
    </row>
    <row r="264" spans="1:39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25"/>
      <c r="AE264" s="25"/>
      <c r="AF264" s="25"/>
      <c r="AG264" s="25"/>
      <c r="AH264" s="25"/>
      <c r="AI264" s="25"/>
      <c r="AJ264" s="6"/>
      <c r="AK264" s="19"/>
      <c r="AL264" s="19"/>
      <c r="AM264" s="19"/>
    </row>
    <row r="265" spans="1:39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25"/>
      <c r="AE265" s="25"/>
      <c r="AF265" s="25"/>
      <c r="AG265" s="25"/>
      <c r="AH265" s="25"/>
      <c r="AI265" s="25"/>
      <c r="AJ265" s="6"/>
      <c r="AK265" s="19"/>
      <c r="AL265" s="19"/>
      <c r="AM265" s="19"/>
    </row>
    <row r="266" spans="1:39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25"/>
      <c r="AE266" s="25"/>
      <c r="AF266" s="25"/>
      <c r="AG266" s="25"/>
      <c r="AH266" s="25"/>
      <c r="AI266" s="25"/>
      <c r="AJ266" s="6"/>
      <c r="AK266" s="19"/>
      <c r="AL266" s="19"/>
      <c r="AM266" s="19"/>
    </row>
    <row r="267" spans="1:39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25"/>
      <c r="AE267" s="25"/>
      <c r="AF267" s="25"/>
      <c r="AG267" s="25"/>
      <c r="AH267" s="25"/>
      <c r="AI267" s="25"/>
      <c r="AJ267" s="6"/>
      <c r="AK267" s="19"/>
      <c r="AL267" s="19"/>
      <c r="AM267" s="19"/>
    </row>
    <row r="268" spans="1:39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25"/>
      <c r="AE268" s="25"/>
      <c r="AF268" s="25"/>
      <c r="AG268" s="25"/>
      <c r="AH268" s="25"/>
      <c r="AI268" s="25"/>
      <c r="AJ268" s="6"/>
      <c r="AK268" s="19"/>
      <c r="AL268" s="19"/>
      <c r="AM268" s="19"/>
    </row>
    <row r="269" spans="1:3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25"/>
      <c r="AE269" s="25"/>
      <c r="AF269" s="25"/>
      <c r="AG269" s="25"/>
      <c r="AH269" s="25"/>
      <c r="AI269" s="25"/>
      <c r="AJ269" s="6"/>
      <c r="AK269" s="19"/>
      <c r="AL269" s="19"/>
      <c r="AM269" s="19"/>
    </row>
    <row r="270" spans="1:39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25"/>
      <c r="AE270" s="25"/>
      <c r="AF270" s="25"/>
      <c r="AG270" s="25"/>
      <c r="AH270" s="25"/>
      <c r="AI270" s="25"/>
      <c r="AJ270" s="6"/>
      <c r="AK270" s="19"/>
      <c r="AL270" s="19"/>
      <c r="AM270" s="19"/>
    </row>
    <row r="271" spans="1:39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25"/>
      <c r="AE271" s="25"/>
      <c r="AF271" s="25"/>
      <c r="AG271" s="25"/>
      <c r="AH271" s="25"/>
      <c r="AI271" s="25"/>
      <c r="AJ271" s="6"/>
      <c r="AK271" s="19"/>
      <c r="AL271" s="19"/>
      <c r="AM271" s="19"/>
    </row>
    <row r="272" spans="1:39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25"/>
      <c r="AE272" s="25"/>
      <c r="AF272" s="25"/>
      <c r="AG272" s="25"/>
      <c r="AH272" s="25"/>
      <c r="AI272" s="25"/>
      <c r="AJ272" s="6"/>
      <c r="AK272" s="19"/>
      <c r="AL272" s="19"/>
      <c r="AM272" s="19"/>
    </row>
    <row r="273" spans="1:39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25"/>
      <c r="AE273" s="25"/>
      <c r="AF273" s="25"/>
      <c r="AG273" s="25"/>
      <c r="AH273" s="25"/>
      <c r="AI273" s="25"/>
      <c r="AJ273" s="6"/>
      <c r="AK273" s="19"/>
      <c r="AL273" s="19"/>
      <c r="AM273" s="19"/>
    </row>
    <row r="274" spans="1:39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25"/>
      <c r="AE274" s="25"/>
      <c r="AF274" s="25"/>
      <c r="AG274" s="25"/>
      <c r="AH274" s="25"/>
      <c r="AI274" s="25"/>
      <c r="AJ274" s="6"/>
      <c r="AK274" s="19"/>
      <c r="AL274" s="19"/>
      <c r="AM274" s="19"/>
    </row>
    <row r="275" spans="1:39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25"/>
      <c r="AE275" s="25"/>
      <c r="AF275" s="25"/>
      <c r="AG275" s="25"/>
      <c r="AH275" s="25"/>
      <c r="AI275" s="25"/>
      <c r="AJ275" s="6"/>
      <c r="AK275" s="19"/>
      <c r="AL275" s="19"/>
      <c r="AM275" s="19"/>
    </row>
    <row r="276" spans="1:39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25"/>
      <c r="AE276" s="25"/>
      <c r="AF276" s="25"/>
      <c r="AG276" s="25"/>
      <c r="AH276" s="25"/>
      <c r="AI276" s="25"/>
      <c r="AJ276" s="6"/>
      <c r="AK276" s="19"/>
      <c r="AL276" s="19"/>
      <c r="AM276" s="19"/>
    </row>
    <row r="277" spans="1:39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25"/>
      <c r="AE277" s="25"/>
      <c r="AF277" s="25"/>
      <c r="AG277" s="25"/>
      <c r="AH277" s="25"/>
      <c r="AI277" s="25"/>
      <c r="AJ277" s="6"/>
      <c r="AK277" s="19"/>
      <c r="AL277" s="19"/>
      <c r="AM277" s="19"/>
    </row>
    <row r="278" spans="1:39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25"/>
      <c r="AE278" s="25"/>
      <c r="AF278" s="25"/>
      <c r="AG278" s="25"/>
      <c r="AH278" s="25"/>
      <c r="AI278" s="25"/>
      <c r="AJ278" s="6"/>
      <c r="AK278" s="19"/>
      <c r="AL278" s="19"/>
      <c r="AM278" s="19"/>
    </row>
    <row r="279" spans="1:3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25"/>
      <c r="AE279" s="25"/>
      <c r="AF279" s="25"/>
      <c r="AG279" s="25"/>
      <c r="AH279" s="25"/>
      <c r="AI279" s="25"/>
      <c r="AJ279" s="6"/>
      <c r="AK279" s="19"/>
      <c r="AL279" s="19"/>
      <c r="AM279" s="19"/>
    </row>
    <row r="280" spans="1:39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25"/>
      <c r="AE280" s="25"/>
      <c r="AF280" s="25"/>
      <c r="AG280" s="25"/>
      <c r="AH280" s="25"/>
      <c r="AI280" s="25"/>
      <c r="AJ280" s="6"/>
      <c r="AK280" s="19"/>
      <c r="AL280" s="19"/>
      <c r="AM280" s="19"/>
    </row>
    <row r="281" spans="1:39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25"/>
      <c r="AE281" s="25"/>
      <c r="AF281" s="25"/>
      <c r="AG281" s="25"/>
      <c r="AH281" s="25"/>
      <c r="AI281" s="25"/>
      <c r="AJ281" s="6"/>
      <c r="AK281" s="19"/>
      <c r="AL281" s="19"/>
      <c r="AM281" s="19"/>
    </row>
    <row r="282" spans="1:39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25"/>
      <c r="AE282" s="25"/>
      <c r="AF282" s="25"/>
      <c r="AG282" s="25"/>
      <c r="AH282" s="25"/>
      <c r="AI282" s="25"/>
      <c r="AJ282" s="6"/>
      <c r="AK282" s="19"/>
      <c r="AL282" s="19"/>
      <c r="AM282" s="19"/>
    </row>
    <row r="283" spans="1:39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25"/>
      <c r="AE283" s="25"/>
      <c r="AF283" s="25"/>
      <c r="AG283" s="25"/>
      <c r="AH283" s="25"/>
      <c r="AI283" s="25"/>
      <c r="AJ283" s="6"/>
      <c r="AK283" s="19"/>
      <c r="AL283" s="19"/>
      <c r="AM283" s="19"/>
    </row>
    <row r="284" spans="1:39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25"/>
      <c r="AE284" s="25"/>
      <c r="AF284" s="25"/>
      <c r="AG284" s="25"/>
      <c r="AH284" s="25"/>
      <c r="AI284" s="25"/>
      <c r="AJ284" s="6"/>
      <c r="AK284" s="19"/>
      <c r="AL284" s="19"/>
      <c r="AM284" s="19"/>
    </row>
    <row r="285" spans="1:39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25"/>
      <c r="AE285" s="25"/>
      <c r="AF285" s="25"/>
      <c r="AG285" s="25"/>
      <c r="AH285" s="25"/>
      <c r="AI285" s="25"/>
      <c r="AJ285" s="6"/>
      <c r="AK285" s="19"/>
      <c r="AL285" s="19"/>
      <c r="AM285" s="19"/>
    </row>
    <row r="286" spans="1:39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25"/>
      <c r="AE286" s="25"/>
      <c r="AF286" s="25"/>
      <c r="AG286" s="25"/>
      <c r="AH286" s="25"/>
      <c r="AI286" s="25"/>
      <c r="AJ286" s="6"/>
      <c r="AK286" s="19"/>
      <c r="AL286" s="19"/>
      <c r="AM286" s="19"/>
    </row>
    <row r="287" spans="1:39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25"/>
      <c r="AE287" s="25"/>
      <c r="AF287" s="25"/>
      <c r="AG287" s="25"/>
      <c r="AH287" s="25"/>
      <c r="AI287" s="25"/>
      <c r="AJ287" s="6"/>
      <c r="AK287" s="19"/>
      <c r="AL287" s="19"/>
      <c r="AM287" s="19"/>
    </row>
    <row r="288" spans="1:39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25"/>
      <c r="AE288" s="25"/>
      <c r="AF288" s="25"/>
      <c r="AG288" s="25"/>
      <c r="AH288" s="25"/>
      <c r="AI288" s="25"/>
      <c r="AJ288" s="6"/>
      <c r="AK288" s="19"/>
      <c r="AL288" s="19"/>
      <c r="AM288" s="19"/>
    </row>
    <row r="289" spans="1:3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25"/>
      <c r="AE289" s="25"/>
      <c r="AF289" s="25"/>
      <c r="AG289" s="25"/>
      <c r="AH289" s="25"/>
      <c r="AI289" s="25"/>
      <c r="AJ289" s="6"/>
      <c r="AK289" s="19"/>
      <c r="AL289" s="19"/>
      <c r="AM289" s="19"/>
    </row>
    <row r="290" spans="1:39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25"/>
      <c r="AE290" s="25"/>
      <c r="AF290" s="25"/>
      <c r="AG290" s="25"/>
      <c r="AH290" s="25"/>
      <c r="AI290" s="25"/>
      <c r="AJ290" s="6"/>
      <c r="AK290" s="19"/>
      <c r="AL290" s="19"/>
      <c r="AM290" s="19"/>
    </row>
    <row r="291" spans="1:39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25"/>
      <c r="AE291" s="25"/>
      <c r="AF291" s="25"/>
      <c r="AG291" s="25"/>
      <c r="AH291" s="25"/>
      <c r="AI291" s="25"/>
      <c r="AJ291" s="6"/>
      <c r="AK291" s="19"/>
      <c r="AL291" s="19"/>
      <c r="AM291" s="19"/>
    </row>
    <row r="292" spans="1:39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25"/>
      <c r="AE292" s="25"/>
      <c r="AF292" s="25"/>
      <c r="AG292" s="25"/>
      <c r="AH292" s="25"/>
      <c r="AI292" s="25"/>
      <c r="AJ292" s="6"/>
      <c r="AK292" s="19"/>
      <c r="AL292" s="19"/>
      <c r="AM292" s="19"/>
    </row>
    <row r="293" spans="1:39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25"/>
      <c r="AE293" s="25"/>
      <c r="AF293" s="25"/>
      <c r="AG293" s="25"/>
      <c r="AH293" s="25"/>
      <c r="AI293" s="25"/>
      <c r="AJ293" s="6"/>
      <c r="AK293" s="19"/>
      <c r="AL293" s="19"/>
      <c r="AM293" s="19"/>
    </row>
    <row r="294" spans="1:39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25"/>
      <c r="AE294" s="25"/>
      <c r="AF294" s="25"/>
      <c r="AG294" s="25"/>
      <c r="AH294" s="25"/>
      <c r="AI294" s="25"/>
      <c r="AJ294" s="6"/>
      <c r="AK294" s="19"/>
      <c r="AL294" s="19"/>
      <c r="AM294" s="19"/>
    </row>
    <row r="295" spans="1:39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25"/>
      <c r="AE295" s="25"/>
      <c r="AF295" s="25"/>
      <c r="AG295" s="25"/>
      <c r="AH295" s="25"/>
      <c r="AI295" s="25"/>
      <c r="AJ295" s="6"/>
      <c r="AK295" s="19"/>
      <c r="AL295" s="19"/>
      <c r="AM295" s="19"/>
    </row>
    <row r="296" spans="1:39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25"/>
      <c r="AE296" s="25"/>
      <c r="AF296" s="25"/>
      <c r="AG296" s="25"/>
      <c r="AH296" s="25"/>
      <c r="AI296" s="25"/>
      <c r="AJ296" s="6"/>
      <c r="AK296" s="19"/>
      <c r="AL296" s="19"/>
      <c r="AM296" s="19"/>
    </row>
    <row r="297" spans="1:39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25"/>
      <c r="AE297" s="25"/>
      <c r="AF297" s="25"/>
      <c r="AG297" s="25"/>
      <c r="AH297" s="25"/>
      <c r="AI297" s="25"/>
      <c r="AJ297" s="6"/>
      <c r="AK297" s="19"/>
      <c r="AL297" s="19"/>
      <c r="AM297" s="19"/>
    </row>
    <row r="298" spans="1:39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25"/>
      <c r="AE298" s="25"/>
      <c r="AF298" s="25"/>
      <c r="AG298" s="25"/>
      <c r="AH298" s="25"/>
      <c r="AI298" s="25"/>
      <c r="AJ298" s="6"/>
      <c r="AK298" s="19"/>
      <c r="AL298" s="19"/>
      <c r="AM298" s="19"/>
    </row>
    <row r="299" spans="1:3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25"/>
      <c r="AE299" s="25"/>
      <c r="AF299" s="25"/>
      <c r="AG299" s="25"/>
      <c r="AH299" s="25"/>
      <c r="AI299" s="25"/>
      <c r="AJ299" s="6"/>
      <c r="AK299" s="19"/>
      <c r="AL299" s="19"/>
      <c r="AM299" s="19"/>
    </row>
    <row r="300" spans="1:39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25"/>
      <c r="AE300" s="25"/>
      <c r="AF300" s="25"/>
      <c r="AG300" s="25"/>
      <c r="AH300" s="25"/>
      <c r="AI300" s="25"/>
      <c r="AJ300" s="6"/>
      <c r="AK300" s="19"/>
      <c r="AL300" s="19"/>
      <c r="AM300" s="19"/>
    </row>
    <row r="301" spans="1:39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25"/>
      <c r="AE301" s="25"/>
      <c r="AF301" s="25"/>
      <c r="AG301" s="25"/>
      <c r="AH301" s="25"/>
      <c r="AI301" s="25"/>
      <c r="AJ301" s="6"/>
      <c r="AK301" s="19"/>
      <c r="AL301" s="19"/>
      <c r="AM301" s="19"/>
    </row>
    <row r="302" spans="1:39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25"/>
      <c r="AE302" s="25"/>
      <c r="AF302" s="25"/>
      <c r="AG302" s="25"/>
      <c r="AH302" s="25"/>
      <c r="AI302" s="25"/>
      <c r="AJ302" s="6"/>
      <c r="AK302" s="19"/>
      <c r="AL302" s="19"/>
      <c r="AM302" s="19"/>
    </row>
    <row r="303" spans="1:39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25"/>
      <c r="AE303" s="25"/>
      <c r="AF303" s="25"/>
      <c r="AG303" s="25"/>
      <c r="AH303" s="25"/>
      <c r="AI303" s="25"/>
      <c r="AJ303" s="6"/>
      <c r="AK303" s="19"/>
      <c r="AL303" s="19"/>
      <c r="AM303" s="19"/>
    </row>
    <row r="304" spans="1:39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25"/>
      <c r="AE304" s="25"/>
      <c r="AF304" s="25"/>
      <c r="AG304" s="25"/>
      <c r="AH304" s="25"/>
      <c r="AI304" s="25"/>
      <c r="AJ304" s="6"/>
      <c r="AK304" s="19"/>
      <c r="AL304" s="19"/>
      <c r="AM304" s="19"/>
    </row>
    <row r="305" spans="1:39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25"/>
      <c r="AE305" s="25"/>
      <c r="AF305" s="25"/>
      <c r="AG305" s="25"/>
      <c r="AH305" s="25"/>
      <c r="AI305" s="25"/>
      <c r="AJ305" s="6"/>
      <c r="AK305" s="19"/>
      <c r="AL305" s="19"/>
      <c r="AM305" s="19"/>
    </row>
    <row r="306" spans="1:39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25"/>
      <c r="AE306" s="25"/>
      <c r="AF306" s="25"/>
      <c r="AG306" s="25"/>
      <c r="AH306" s="25"/>
      <c r="AI306" s="25"/>
      <c r="AJ306" s="6"/>
      <c r="AK306" s="19"/>
      <c r="AL306" s="19"/>
      <c r="AM306" s="19"/>
    </row>
    <row r="307" spans="1:39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25"/>
      <c r="AE307" s="25"/>
      <c r="AF307" s="25"/>
      <c r="AG307" s="25"/>
      <c r="AH307" s="25"/>
      <c r="AI307" s="25"/>
      <c r="AJ307" s="6"/>
      <c r="AK307" s="19"/>
      <c r="AL307" s="19"/>
      <c r="AM307" s="19"/>
    </row>
    <row r="308" spans="1:39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25"/>
      <c r="AE308" s="25"/>
      <c r="AF308" s="25"/>
      <c r="AG308" s="25"/>
      <c r="AH308" s="25"/>
      <c r="AI308" s="25"/>
      <c r="AJ308" s="6"/>
      <c r="AK308" s="19"/>
      <c r="AL308" s="19"/>
      <c r="AM308" s="19"/>
    </row>
    <row r="309" spans="1:3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25"/>
      <c r="AE309" s="25"/>
      <c r="AF309" s="25"/>
      <c r="AG309" s="25"/>
      <c r="AH309" s="25"/>
      <c r="AI309" s="25"/>
      <c r="AJ309" s="6"/>
      <c r="AK309" s="19"/>
      <c r="AL309" s="19"/>
      <c r="AM309" s="19"/>
    </row>
    <row r="310" spans="1:39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25"/>
      <c r="AE310" s="25"/>
      <c r="AF310" s="25"/>
      <c r="AG310" s="25"/>
      <c r="AH310" s="25"/>
      <c r="AI310" s="25"/>
      <c r="AJ310" s="6"/>
      <c r="AK310" s="19"/>
      <c r="AL310" s="19"/>
      <c r="AM310" s="19"/>
    </row>
    <row r="311" spans="1:39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25"/>
      <c r="AE311" s="25"/>
      <c r="AF311" s="25"/>
      <c r="AG311" s="25"/>
      <c r="AH311" s="25"/>
      <c r="AI311" s="25"/>
      <c r="AJ311" s="6"/>
      <c r="AK311" s="19"/>
      <c r="AL311" s="19"/>
      <c r="AM311" s="19"/>
    </row>
    <row r="312" spans="1:39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25"/>
      <c r="AE312" s="25"/>
      <c r="AF312" s="25"/>
      <c r="AG312" s="25"/>
      <c r="AH312" s="25"/>
      <c r="AI312" s="25"/>
      <c r="AJ312" s="6"/>
      <c r="AK312" s="19"/>
      <c r="AL312" s="19"/>
      <c r="AM312" s="19"/>
    </row>
    <row r="313" spans="1:39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25"/>
      <c r="AE313" s="25"/>
      <c r="AF313" s="25"/>
      <c r="AG313" s="25"/>
      <c r="AH313" s="25"/>
      <c r="AI313" s="25"/>
      <c r="AJ313" s="6"/>
      <c r="AK313" s="19"/>
      <c r="AL313" s="19"/>
      <c r="AM313" s="19"/>
    </row>
    <row r="314" spans="1:39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25"/>
      <c r="AE314" s="25"/>
      <c r="AF314" s="25"/>
      <c r="AG314" s="25"/>
      <c r="AH314" s="25"/>
      <c r="AI314" s="25"/>
      <c r="AJ314" s="6"/>
      <c r="AK314" s="19"/>
      <c r="AL314" s="19"/>
      <c r="AM314" s="19"/>
    </row>
    <row r="315" spans="1:39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25"/>
      <c r="AE315" s="25"/>
      <c r="AF315" s="25"/>
      <c r="AG315" s="25"/>
      <c r="AH315" s="25"/>
      <c r="AI315" s="25"/>
      <c r="AJ315" s="6"/>
      <c r="AK315" s="19"/>
      <c r="AL315" s="19"/>
      <c r="AM315" s="19"/>
    </row>
    <row r="316" spans="1:39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25"/>
      <c r="AE316" s="25"/>
      <c r="AF316" s="25"/>
      <c r="AG316" s="25"/>
      <c r="AH316" s="25"/>
      <c r="AI316" s="25"/>
      <c r="AJ316" s="6"/>
      <c r="AK316" s="19"/>
      <c r="AL316" s="19"/>
      <c r="AM316" s="19"/>
    </row>
    <row r="317" spans="1:39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25"/>
      <c r="AE317" s="25"/>
      <c r="AF317" s="25"/>
      <c r="AG317" s="25"/>
      <c r="AH317" s="25"/>
      <c r="AI317" s="25"/>
      <c r="AJ317" s="6"/>
      <c r="AK317" s="19"/>
      <c r="AL317" s="19"/>
      <c r="AM317" s="19"/>
    </row>
    <row r="318" spans="1:39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25"/>
      <c r="AE318" s="25"/>
      <c r="AF318" s="25"/>
      <c r="AG318" s="25"/>
      <c r="AH318" s="25"/>
      <c r="AI318" s="25"/>
      <c r="AJ318" s="6"/>
      <c r="AK318" s="19"/>
      <c r="AL318" s="19"/>
      <c r="AM318" s="19"/>
    </row>
    <row r="319" spans="1:3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25"/>
      <c r="AE319" s="25"/>
      <c r="AF319" s="25"/>
      <c r="AG319" s="25"/>
      <c r="AH319" s="25"/>
      <c r="AI319" s="25"/>
      <c r="AJ319" s="6"/>
      <c r="AK319" s="19"/>
      <c r="AL319" s="19"/>
      <c r="AM319" s="19"/>
    </row>
    <row r="320" spans="1:39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25"/>
      <c r="AE320" s="25"/>
      <c r="AF320" s="25"/>
      <c r="AG320" s="25"/>
      <c r="AH320" s="25"/>
      <c r="AI320" s="25"/>
      <c r="AJ320" s="6"/>
      <c r="AK320" s="19"/>
      <c r="AL320" s="19"/>
      <c r="AM320" s="19"/>
    </row>
    <row r="321" spans="1:39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25"/>
      <c r="AE321" s="25"/>
      <c r="AF321" s="25"/>
      <c r="AG321" s="25"/>
      <c r="AH321" s="25"/>
      <c r="AI321" s="25"/>
      <c r="AJ321" s="6"/>
      <c r="AK321" s="19"/>
      <c r="AL321" s="19"/>
      <c r="AM321" s="19"/>
    </row>
    <row r="322" spans="1:39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25"/>
      <c r="AE322" s="25"/>
      <c r="AF322" s="25"/>
      <c r="AG322" s="25"/>
      <c r="AH322" s="25"/>
      <c r="AI322" s="25"/>
      <c r="AJ322" s="6"/>
      <c r="AK322" s="19"/>
      <c r="AL322" s="19"/>
      <c r="AM322" s="19"/>
    </row>
    <row r="323" spans="1:39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25"/>
      <c r="AE323" s="25"/>
      <c r="AF323" s="25"/>
      <c r="AG323" s="25"/>
      <c r="AH323" s="25"/>
      <c r="AI323" s="25"/>
      <c r="AJ323" s="6"/>
      <c r="AK323" s="19"/>
      <c r="AL323" s="19"/>
      <c r="AM323" s="19"/>
    </row>
    <row r="324" spans="1:39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25"/>
      <c r="AE324" s="25"/>
      <c r="AF324" s="25"/>
      <c r="AG324" s="25"/>
      <c r="AH324" s="25"/>
      <c r="AI324" s="25"/>
      <c r="AJ324" s="6"/>
      <c r="AK324" s="19"/>
      <c r="AL324" s="19"/>
      <c r="AM324" s="19"/>
    </row>
    <row r="325" spans="1:39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25"/>
      <c r="AE325" s="25"/>
      <c r="AF325" s="25"/>
      <c r="AG325" s="25"/>
      <c r="AH325" s="25"/>
      <c r="AI325" s="25"/>
      <c r="AJ325" s="6"/>
      <c r="AK325" s="19"/>
      <c r="AL325" s="19"/>
      <c r="AM325" s="19"/>
    </row>
    <row r="326" spans="1:39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25"/>
      <c r="AE326" s="25"/>
      <c r="AF326" s="25"/>
      <c r="AG326" s="25"/>
      <c r="AH326" s="25"/>
      <c r="AI326" s="25"/>
      <c r="AJ326" s="6"/>
      <c r="AK326" s="19"/>
      <c r="AL326" s="19"/>
      <c r="AM326" s="19"/>
    </row>
    <row r="327" spans="1:39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25"/>
      <c r="AE327" s="25"/>
      <c r="AF327" s="25"/>
      <c r="AG327" s="25"/>
      <c r="AH327" s="25"/>
      <c r="AI327" s="25"/>
      <c r="AJ327" s="6"/>
      <c r="AK327" s="19"/>
      <c r="AL327" s="19"/>
      <c r="AM327" s="19"/>
    </row>
    <row r="328" spans="1:39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25"/>
      <c r="AE328" s="25"/>
      <c r="AF328" s="25"/>
      <c r="AG328" s="25"/>
      <c r="AH328" s="25"/>
      <c r="AI328" s="25"/>
      <c r="AJ328" s="6"/>
      <c r="AK328" s="19"/>
      <c r="AL328" s="19"/>
      <c r="AM328" s="19"/>
    </row>
    <row r="329" spans="1:3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25"/>
      <c r="AE329" s="25"/>
      <c r="AF329" s="25"/>
      <c r="AG329" s="25"/>
      <c r="AH329" s="25"/>
      <c r="AI329" s="25"/>
      <c r="AJ329" s="6"/>
      <c r="AK329" s="19"/>
      <c r="AL329" s="19"/>
      <c r="AM329" s="19"/>
    </row>
    <row r="330" spans="1:39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25"/>
      <c r="AE330" s="25"/>
      <c r="AF330" s="25"/>
      <c r="AG330" s="25"/>
      <c r="AH330" s="25"/>
      <c r="AI330" s="25"/>
      <c r="AJ330" s="6"/>
      <c r="AK330" s="19"/>
      <c r="AL330" s="19"/>
      <c r="AM330" s="19"/>
    </row>
    <row r="331" spans="1:39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25"/>
      <c r="AE331" s="25"/>
      <c r="AF331" s="25"/>
      <c r="AG331" s="25"/>
      <c r="AH331" s="25"/>
      <c r="AI331" s="25"/>
      <c r="AJ331" s="6"/>
      <c r="AK331" s="19"/>
      <c r="AL331" s="19"/>
      <c r="AM331" s="19"/>
    </row>
    <row r="332" spans="1:39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25"/>
      <c r="AE332" s="25"/>
      <c r="AF332" s="25"/>
      <c r="AG332" s="25"/>
      <c r="AH332" s="25"/>
      <c r="AI332" s="25"/>
      <c r="AJ332" s="6"/>
      <c r="AK332" s="19"/>
      <c r="AL332" s="19"/>
      <c r="AM332" s="19"/>
    </row>
    <row r="333" spans="1:39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25"/>
      <c r="AE333" s="25"/>
      <c r="AF333" s="25"/>
      <c r="AG333" s="25"/>
      <c r="AH333" s="25"/>
      <c r="AI333" s="25"/>
      <c r="AJ333" s="6"/>
      <c r="AK333" s="19"/>
      <c r="AL333" s="19"/>
      <c r="AM333" s="19"/>
    </row>
    <row r="334" spans="1:39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25"/>
      <c r="AE334" s="25"/>
      <c r="AF334" s="25"/>
      <c r="AG334" s="25"/>
      <c r="AH334" s="25"/>
      <c r="AI334" s="25"/>
      <c r="AJ334" s="6"/>
      <c r="AK334" s="19"/>
      <c r="AL334" s="19"/>
      <c r="AM334" s="19"/>
    </row>
    <row r="335" spans="1:39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25"/>
      <c r="AE335" s="25"/>
      <c r="AF335" s="25"/>
      <c r="AG335" s="25"/>
      <c r="AH335" s="25"/>
      <c r="AI335" s="25"/>
      <c r="AJ335" s="6"/>
      <c r="AK335" s="19"/>
      <c r="AL335" s="19"/>
      <c r="AM335" s="19"/>
    </row>
    <row r="336" spans="1:39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25"/>
      <c r="AE336" s="25"/>
      <c r="AF336" s="25"/>
      <c r="AG336" s="25"/>
      <c r="AH336" s="25"/>
      <c r="AI336" s="25"/>
      <c r="AJ336" s="6"/>
      <c r="AK336" s="19"/>
      <c r="AL336" s="19"/>
      <c r="AM336" s="19"/>
    </row>
    <row r="337" spans="1:39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25"/>
      <c r="AE337" s="25"/>
      <c r="AF337" s="25"/>
      <c r="AG337" s="25"/>
      <c r="AH337" s="25"/>
      <c r="AI337" s="25"/>
      <c r="AJ337" s="6"/>
      <c r="AK337" s="19"/>
      <c r="AL337" s="19"/>
      <c r="AM337" s="19"/>
    </row>
    <row r="338" spans="1:39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25"/>
      <c r="AE338" s="25"/>
      <c r="AF338" s="25"/>
      <c r="AG338" s="25"/>
      <c r="AH338" s="25"/>
      <c r="AI338" s="25"/>
      <c r="AJ338" s="6"/>
      <c r="AK338" s="19"/>
      <c r="AL338" s="19"/>
      <c r="AM338" s="19"/>
    </row>
    <row r="339" spans="1: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25"/>
      <c r="AE339" s="25"/>
      <c r="AF339" s="25"/>
      <c r="AG339" s="25"/>
      <c r="AH339" s="25"/>
      <c r="AI339" s="25"/>
      <c r="AJ339" s="6"/>
      <c r="AK339" s="19"/>
      <c r="AL339" s="19"/>
      <c r="AM339" s="19"/>
    </row>
    <row r="340" spans="1:39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25"/>
      <c r="AE340" s="25"/>
      <c r="AF340" s="25"/>
      <c r="AG340" s="25"/>
      <c r="AH340" s="25"/>
      <c r="AI340" s="25"/>
      <c r="AJ340" s="6"/>
      <c r="AK340" s="19"/>
      <c r="AL340" s="19"/>
      <c r="AM340" s="19"/>
    </row>
    <row r="341" spans="1:39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25"/>
      <c r="AE341" s="25"/>
      <c r="AF341" s="25"/>
      <c r="AG341" s="25"/>
      <c r="AH341" s="25"/>
      <c r="AI341" s="25"/>
      <c r="AJ341" s="6"/>
      <c r="AK341" s="19"/>
      <c r="AL341" s="19"/>
      <c r="AM341" s="19"/>
    </row>
    <row r="342" spans="1:39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25"/>
      <c r="AE342" s="25"/>
      <c r="AF342" s="25"/>
      <c r="AG342" s="25"/>
      <c r="AH342" s="25"/>
      <c r="AI342" s="25"/>
      <c r="AJ342" s="6"/>
      <c r="AK342" s="19"/>
      <c r="AL342" s="19"/>
      <c r="AM342" s="19"/>
    </row>
    <row r="343" spans="1:39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25"/>
      <c r="AE343" s="25"/>
      <c r="AF343" s="25"/>
      <c r="AG343" s="25"/>
      <c r="AH343" s="25"/>
      <c r="AI343" s="25"/>
      <c r="AJ343" s="6"/>
      <c r="AK343" s="19"/>
      <c r="AL343" s="19"/>
      <c r="AM343" s="19"/>
    </row>
    <row r="344" spans="1:39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25"/>
      <c r="AE344" s="25"/>
      <c r="AF344" s="25"/>
      <c r="AG344" s="25"/>
      <c r="AH344" s="25"/>
      <c r="AI344" s="25"/>
      <c r="AJ344" s="6"/>
      <c r="AK344" s="19"/>
      <c r="AL344" s="19"/>
      <c r="AM344" s="19"/>
    </row>
    <row r="345" spans="1:39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25"/>
      <c r="AE345" s="25"/>
      <c r="AF345" s="25"/>
      <c r="AG345" s="25"/>
      <c r="AH345" s="25"/>
      <c r="AI345" s="25"/>
      <c r="AJ345" s="6"/>
      <c r="AK345" s="19"/>
      <c r="AL345" s="19"/>
      <c r="AM345" s="19"/>
    </row>
    <row r="346" spans="1:39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25"/>
      <c r="AE346" s="25"/>
      <c r="AF346" s="25"/>
      <c r="AG346" s="25"/>
      <c r="AH346" s="25"/>
      <c r="AI346" s="25"/>
      <c r="AJ346" s="6"/>
      <c r="AK346" s="19"/>
      <c r="AL346" s="19"/>
      <c r="AM346" s="19"/>
    </row>
    <row r="347" spans="1:39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25"/>
      <c r="AE347" s="25"/>
      <c r="AF347" s="25"/>
      <c r="AG347" s="25"/>
      <c r="AH347" s="25"/>
      <c r="AI347" s="25"/>
      <c r="AJ347" s="6"/>
      <c r="AK347" s="19"/>
      <c r="AL347" s="19"/>
      <c r="AM347" s="19"/>
    </row>
    <row r="348" spans="1:39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25"/>
      <c r="AE348" s="25"/>
      <c r="AF348" s="25"/>
      <c r="AG348" s="25"/>
      <c r="AH348" s="25"/>
      <c r="AI348" s="25"/>
      <c r="AJ348" s="6"/>
      <c r="AK348" s="19"/>
      <c r="AL348" s="19"/>
      <c r="AM348" s="19"/>
    </row>
    <row r="349" spans="1:3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25"/>
      <c r="AE349" s="25"/>
      <c r="AF349" s="25"/>
      <c r="AG349" s="25"/>
      <c r="AH349" s="25"/>
      <c r="AI349" s="25"/>
      <c r="AJ349" s="6"/>
      <c r="AK349" s="19"/>
      <c r="AL349" s="19"/>
      <c r="AM349" s="19"/>
    </row>
    <row r="350" spans="1:39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25"/>
      <c r="AE350" s="25"/>
      <c r="AF350" s="25"/>
      <c r="AG350" s="25"/>
      <c r="AH350" s="25"/>
      <c r="AI350" s="25"/>
      <c r="AJ350" s="6"/>
      <c r="AK350" s="19"/>
      <c r="AL350" s="19"/>
      <c r="AM350" s="19"/>
    </row>
    <row r="351" spans="1:39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25"/>
      <c r="AE351" s="25"/>
      <c r="AF351" s="25"/>
      <c r="AG351" s="25"/>
      <c r="AH351" s="25"/>
      <c r="AI351" s="25"/>
      <c r="AJ351" s="6"/>
      <c r="AK351" s="19"/>
      <c r="AL351" s="19"/>
      <c r="AM351" s="19"/>
    </row>
    <row r="352" spans="1:39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25"/>
      <c r="AE352" s="25"/>
      <c r="AF352" s="25"/>
      <c r="AG352" s="25"/>
      <c r="AH352" s="25"/>
      <c r="AI352" s="25"/>
      <c r="AJ352" s="6"/>
      <c r="AK352" s="19"/>
      <c r="AL352" s="19"/>
      <c r="AM352" s="19"/>
    </row>
    <row r="353" spans="1:39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25"/>
      <c r="AE353" s="25"/>
      <c r="AF353" s="25"/>
      <c r="AG353" s="25"/>
      <c r="AH353" s="25"/>
      <c r="AI353" s="25"/>
      <c r="AJ353" s="6"/>
      <c r="AK353" s="19"/>
      <c r="AL353" s="19"/>
      <c r="AM353" s="19"/>
    </row>
    <row r="354" spans="1:39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25"/>
      <c r="AE354" s="25"/>
      <c r="AF354" s="25"/>
      <c r="AG354" s="25"/>
      <c r="AH354" s="25"/>
      <c r="AI354" s="25"/>
      <c r="AJ354" s="6"/>
      <c r="AK354" s="19"/>
      <c r="AL354" s="19"/>
      <c r="AM354" s="19"/>
    </row>
    <row r="355" spans="1:39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25"/>
      <c r="AE355" s="25"/>
      <c r="AF355" s="25"/>
      <c r="AG355" s="25"/>
      <c r="AH355" s="25"/>
      <c r="AI355" s="25"/>
      <c r="AJ355" s="6"/>
      <c r="AK355" s="19"/>
      <c r="AL355" s="19"/>
      <c r="AM355" s="19"/>
    </row>
    <row r="356" spans="1:39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25"/>
      <c r="AE356" s="25"/>
      <c r="AF356" s="25"/>
      <c r="AG356" s="25"/>
      <c r="AH356" s="25"/>
      <c r="AI356" s="25"/>
      <c r="AJ356" s="6"/>
      <c r="AK356" s="19"/>
      <c r="AL356" s="19"/>
      <c r="AM356" s="19"/>
    </row>
    <row r="357" spans="1:39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25"/>
      <c r="AE357" s="25"/>
      <c r="AF357" s="25"/>
      <c r="AG357" s="25"/>
      <c r="AH357" s="25"/>
      <c r="AI357" s="25"/>
      <c r="AJ357" s="6"/>
      <c r="AK357" s="19"/>
      <c r="AL357" s="19"/>
      <c r="AM357" s="19"/>
    </row>
    <row r="358" spans="1:39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25"/>
      <c r="AE358" s="25"/>
      <c r="AF358" s="25"/>
      <c r="AG358" s="25"/>
      <c r="AH358" s="25"/>
      <c r="AI358" s="25"/>
      <c r="AJ358" s="6"/>
      <c r="AK358" s="19"/>
      <c r="AL358" s="19"/>
      <c r="AM358" s="19"/>
    </row>
    <row r="359" spans="1:3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25"/>
      <c r="AE359" s="25"/>
      <c r="AF359" s="25"/>
      <c r="AG359" s="25"/>
      <c r="AH359" s="25"/>
      <c r="AI359" s="25"/>
      <c r="AJ359" s="6"/>
      <c r="AK359" s="19"/>
      <c r="AL359" s="19"/>
      <c r="AM359" s="19"/>
    </row>
    <row r="360" spans="1:39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25"/>
      <c r="AE360" s="25"/>
      <c r="AF360" s="25"/>
      <c r="AG360" s="25"/>
      <c r="AH360" s="25"/>
      <c r="AI360" s="25"/>
      <c r="AJ360" s="6"/>
      <c r="AK360" s="19"/>
      <c r="AL360" s="19"/>
      <c r="AM360" s="19"/>
    </row>
    <row r="361" spans="1:39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25"/>
      <c r="AE361" s="25"/>
      <c r="AF361" s="25"/>
      <c r="AG361" s="25"/>
      <c r="AH361" s="25"/>
      <c r="AI361" s="25"/>
      <c r="AJ361" s="6"/>
      <c r="AK361" s="19"/>
      <c r="AL361" s="19"/>
      <c r="AM361" s="19"/>
    </row>
    <row r="362" spans="1:39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25"/>
      <c r="AE362" s="25"/>
      <c r="AF362" s="25"/>
      <c r="AG362" s="25"/>
      <c r="AH362" s="25"/>
      <c r="AI362" s="25"/>
      <c r="AJ362" s="6"/>
      <c r="AK362" s="19"/>
      <c r="AL362" s="19"/>
      <c r="AM362" s="19"/>
    </row>
    <row r="363" spans="1:39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25"/>
      <c r="AE363" s="25"/>
      <c r="AF363" s="25"/>
      <c r="AG363" s="25"/>
      <c r="AH363" s="25"/>
      <c r="AI363" s="25"/>
      <c r="AJ363" s="6"/>
      <c r="AK363" s="19"/>
      <c r="AL363" s="19"/>
      <c r="AM363" s="19"/>
    </row>
    <row r="364" spans="1:39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25"/>
      <c r="AE364" s="25"/>
      <c r="AF364" s="25"/>
      <c r="AG364" s="25"/>
      <c r="AH364" s="25"/>
      <c r="AI364" s="25"/>
      <c r="AJ364" s="6"/>
      <c r="AK364" s="19"/>
      <c r="AL364" s="19"/>
      <c r="AM364" s="19"/>
    </row>
    <row r="365" spans="1:39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25"/>
      <c r="AE365" s="25"/>
      <c r="AF365" s="25"/>
      <c r="AG365" s="25"/>
      <c r="AH365" s="25"/>
      <c r="AI365" s="25"/>
      <c r="AJ365" s="6"/>
      <c r="AK365" s="19"/>
      <c r="AL365" s="19"/>
      <c r="AM365" s="19"/>
    </row>
    <row r="366" spans="1:39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25"/>
      <c r="AE366" s="25"/>
      <c r="AF366" s="25"/>
      <c r="AG366" s="25"/>
      <c r="AH366" s="25"/>
      <c r="AI366" s="25"/>
      <c r="AJ366" s="6"/>
      <c r="AK366" s="19"/>
      <c r="AL366" s="19"/>
      <c r="AM366" s="19"/>
    </row>
    <row r="367" spans="1:39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25"/>
      <c r="AE367" s="25"/>
      <c r="AF367" s="25"/>
      <c r="AG367" s="25"/>
      <c r="AH367" s="25"/>
      <c r="AI367" s="25"/>
      <c r="AJ367" s="6"/>
      <c r="AK367" s="19"/>
      <c r="AL367" s="19"/>
      <c r="AM367" s="19"/>
    </row>
    <row r="368" spans="1:39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25"/>
      <c r="AE368" s="25"/>
      <c r="AF368" s="25"/>
      <c r="AG368" s="25"/>
      <c r="AH368" s="25"/>
      <c r="AI368" s="25"/>
      <c r="AJ368" s="6"/>
      <c r="AK368" s="19"/>
      <c r="AL368" s="19"/>
      <c r="AM368" s="19"/>
    </row>
    <row r="369" spans="1:3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25"/>
      <c r="AE369" s="25"/>
      <c r="AF369" s="25"/>
      <c r="AG369" s="25"/>
      <c r="AH369" s="25"/>
      <c r="AI369" s="25"/>
      <c r="AJ369" s="6"/>
      <c r="AK369" s="19"/>
      <c r="AL369" s="19"/>
      <c r="AM369" s="19"/>
    </row>
    <row r="370" spans="1:39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25"/>
      <c r="AE370" s="25"/>
      <c r="AF370" s="25"/>
      <c r="AG370" s="25"/>
      <c r="AH370" s="25"/>
      <c r="AI370" s="25"/>
      <c r="AJ370" s="6"/>
      <c r="AK370" s="19"/>
      <c r="AL370" s="19"/>
      <c r="AM370" s="19"/>
    </row>
    <row r="371" spans="1:39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25"/>
      <c r="AE371" s="25"/>
      <c r="AF371" s="25"/>
      <c r="AG371" s="25"/>
      <c r="AH371" s="25"/>
      <c r="AI371" s="25"/>
      <c r="AJ371" s="6"/>
      <c r="AK371" s="19"/>
      <c r="AL371" s="19"/>
      <c r="AM371" s="19"/>
    </row>
    <row r="372" spans="1:39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25"/>
      <c r="AE372" s="25"/>
      <c r="AF372" s="25"/>
      <c r="AG372" s="25"/>
      <c r="AH372" s="25"/>
      <c r="AI372" s="25"/>
      <c r="AJ372" s="6"/>
      <c r="AK372" s="19"/>
      <c r="AL372" s="19"/>
      <c r="AM372" s="19"/>
    </row>
    <row r="373" spans="1:39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25"/>
      <c r="AE373" s="25"/>
      <c r="AF373" s="25"/>
      <c r="AG373" s="25"/>
      <c r="AH373" s="25"/>
      <c r="AI373" s="25"/>
      <c r="AJ373" s="6"/>
      <c r="AK373" s="19"/>
      <c r="AL373" s="19"/>
      <c r="AM373" s="19"/>
    </row>
    <row r="374" spans="1:39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25"/>
      <c r="AE374" s="25"/>
      <c r="AF374" s="25"/>
      <c r="AG374" s="25"/>
      <c r="AH374" s="25"/>
      <c r="AI374" s="25"/>
      <c r="AJ374" s="6"/>
      <c r="AK374" s="19"/>
      <c r="AL374" s="19"/>
      <c r="AM374" s="19"/>
    </row>
    <row r="375" spans="1:39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25"/>
      <c r="AE375" s="25"/>
      <c r="AF375" s="25"/>
      <c r="AG375" s="25"/>
      <c r="AH375" s="25"/>
      <c r="AI375" s="25"/>
      <c r="AJ375" s="6"/>
      <c r="AK375" s="19"/>
      <c r="AL375" s="19"/>
      <c r="AM375" s="19"/>
    </row>
    <row r="376" spans="1:39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25"/>
      <c r="AE376" s="25"/>
      <c r="AF376" s="25"/>
      <c r="AG376" s="25"/>
      <c r="AH376" s="25"/>
      <c r="AI376" s="25"/>
      <c r="AJ376" s="6"/>
      <c r="AK376" s="19"/>
      <c r="AL376" s="19"/>
      <c r="AM376" s="19"/>
    </row>
    <row r="377" spans="1:39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25"/>
      <c r="AE377" s="25"/>
      <c r="AF377" s="25"/>
      <c r="AG377" s="25"/>
      <c r="AH377" s="25"/>
      <c r="AI377" s="25"/>
      <c r="AJ377" s="6"/>
      <c r="AK377" s="19"/>
      <c r="AL377" s="19"/>
      <c r="AM377" s="19"/>
    </row>
    <row r="378" spans="1:39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25"/>
      <c r="AE378" s="25"/>
      <c r="AF378" s="25"/>
      <c r="AG378" s="25"/>
      <c r="AH378" s="25"/>
      <c r="AI378" s="25"/>
      <c r="AJ378" s="6"/>
      <c r="AK378" s="19"/>
      <c r="AL378" s="19"/>
      <c r="AM378" s="19"/>
    </row>
    <row r="379" spans="1:3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25"/>
      <c r="AE379" s="25"/>
      <c r="AF379" s="25"/>
      <c r="AG379" s="25"/>
      <c r="AH379" s="25"/>
      <c r="AI379" s="25"/>
      <c r="AJ379" s="6"/>
      <c r="AK379" s="19"/>
      <c r="AL379" s="19"/>
      <c r="AM379" s="19"/>
    </row>
    <row r="380" spans="1:39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25"/>
      <c r="AE380" s="25"/>
      <c r="AF380" s="25"/>
      <c r="AG380" s="25"/>
      <c r="AH380" s="25"/>
      <c r="AI380" s="25"/>
      <c r="AJ380" s="6"/>
      <c r="AK380" s="19"/>
      <c r="AL380" s="19"/>
      <c r="AM380" s="19"/>
    </row>
    <row r="381" spans="1:39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25"/>
      <c r="AE381" s="25"/>
      <c r="AF381" s="25"/>
      <c r="AG381" s="25"/>
      <c r="AH381" s="25"/>
      <c r="AI381" s="25"/>
      <c r="AJ381" s="6"/>
      <c r="AK381" s="19"/>
      <c r="AL381" s="19"/>
      <c r="AM381" s="19"/>
    </row>
    <row r="382" spans="1:39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25"/>
      <c r="AE382" s="25"/>
      <c r="AF382" s="25"/>
      <c r="AG382" s="25"/>
      <c r="AH382" s="25"/>
      <c r="AI382" s="25"/>
      <c r="AJ382" s="6"/>
      <c r="AK382" s="19"/>
      <c r="AL382" s="19"/>
      <c r="AM382" s="19"/>
    </row>
    <row r="383" spans="1:39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25"/>
      <c r="AE383" s="25"/>
      <c r="AF383" s="25"/>
      <c r="AG383" s="25"/>
      <c r="AH383" s="25"/>
      <c r="AI383" s="25"/>
      <c r="AJ383" s="6"/>
      <c r="AK383" s="19"/>
      <c r="AL383" s="19"/>
      <c r="AM383" s="19"/>
    </row>
    <row r="384" spans="1:39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25"/>
      <c r="AE384" s="25"/>
      <c r="AF384" s="25"/>
      <c r="AG384" s="25"/>
      <c r="AH384" s="25"/>
      <c r="AI384" s="25"/>
      <c r="AJ384" s="6"/>
      <c r="AK384" s="19"/>
      <c r="AL384" s="19"/>
      <c r="AM384" s="19"/>
    </row>
    <row r="385" spans="1:39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25"/>
      <c r="AE385" s="25"/>
      <c r="AF385" s="25"/>
      <c r="AG385" s="25"/>
      <c r="AH385" s="25"/>
      <c r="AI385" s="25"/>
      <c r="AJ385" s="6"/>
      <c r="AK385" s="19"/>
      <c r="AL385" s="19"/>
      <c r="AM385" s="19"/>
    </row>
    <row r="386" spans="1:39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25"/>
      <c r="AE386" s="25"/>
      <c r="AF386" s="25"/>
      <c r="AG386" s="25"/>
      <c r="AH386" s="25"/>
      <c r="AI386" s="25"/>
      <c r="AJ386" s="6"/>
      <c r="AK386" s="19"/>
      <c r="AL386" s="19"/>
      <c r="AM386" s="19"/>
    </row>
    <row r="387" spans="1:39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25"/>
      <c r="AE387" s="25"/>
      <c r="AF387" s="25"/>
      <c r="AG387" s="25"/>
      <c r="AH387" s="25"/>
      <c r="AI387" s="25"/>
      <c r="AJ387" s="6"/>
      <c r="AK387" s="19"/>
      <c r="AL387" s="19"/>
      <c r="AM387" s="19"/>
    </row>
    <row r="388" spans="1:39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25"/>
      <c r="AE388" s="25"/>
      <c r="AF388" s="25"/>
      <c r="AG388" s="25"/>
      <c r="AH388" s="25"/>
      <c r="AI388" s="25"/>
      <c r="AJ388" s="6"/>
      <c r="AK388" s="19"/>
      <c r="AL388" s="19"/>
      <c r="AM388" s="19"/>
    </row>
    <row r="389" spans="1:3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25"/>
      <c r="AE389" s="25"/>
      <c r="AF389" s="25"/>
      <c r="AG389" s="25"/>
      <c r="AH389" s="25"/>
      <c r="AI389" s="25"/>
      <c r="AJ389" s="6"/>
      <c r="AK389" s="19"/>
      <c r="AL389" s="19"/>
      <c r="AM389" s="19"/>
    </row>
    <row r="390" spans="1:39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25"/>
      <c r="AE390" s="25"/>
      <c r="AF390" s="25"/>
      <c r="AG390" s="25"/>
      <c r="AH390" s="25"/>
      <c r="AI390" s="25"/>
      <c r="AJ390" s="6"/>
      <c r="AK390" s="19"/>
      <c r="AL390" s="19"/>
      <c r="AM390" s="19"/>
    </row>
    <row r="391" spans="1:39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25"/>
      <c r="AE391" s="25"/>
      <c r="AF391" s="25"/>
      <c r="AG391" s="25"/>
      <c r="AH391" s="25"/>
      <c r="AI391" s="25"/>
      <c r="AJ391" s="6"/>
      <c r="AK391" s="19"/>
      <c r="AL391" s="19"/>
      <c r="AM391" s="19"/>
    </row>
    <row r="392" spans="1:39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25"/>
      <c r="AE392" s="25"/>
      <c r="AF392" s="25"/>
      <c r="AG392" s="25"/>
      <c r="AH392" s="25"/>
      <c r="AI392" s="25"/>
      <c r="AJ392" s="6"/>
      <c r="AK392" s="19"/>
      <c r="AL392" s="19"/>
      <c r="AM392" s="19"/>
    </row>
    <row r="393" spans="1:39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25"/>
      <c r="AE393" s="25"/>
      <c r="AF393" s="25"/>
      <c r="AG393" s="25"/>
      <c r="AH393" s="25"/>
      <c r="AI393" s="25"/>
      <c r="AJ393" s="6"/>
      <c r="AK393" s="19"/>
      <c r="AL393" s="19"/>
      <c r="AM393" s="19"/>
    </row>
    <row r="394" spans="1:39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25"/>
      <c r="AE394" s="25"/>
      <c r="AF394" s="25"/>
      <c r="AG394" s="25"/>
      <c r="AH394" s="25"/>
      <c r="AI394" s="25"/>
      <c r="AJ394" s="6"/>
      <c r="AK394" s="19"/>
      <c r="AL394" s="19"/>
      <c r="AM394" s="19"/>
    </row>
    <row r="395" spans="1:39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25"/>
      <c r="AE395" s="25"/>
      <c r="AF395" s="25"/>
      <c r="AG395" s="25"/>
      <c r="AH395" s="25"/>
      <c r="AI395" s="25"/>
      <c r="AJ395" s="6"/>
      <c r="AK395" s="19"/>
      <c r="AL395" s="19"/>
      <c r="AM395" s="19"/>
    </row>
    <row r="396" spans="1:39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25"/>
      <c r="AE396" s="25"/>
      <c r="AF396" s="25"/>
      <c r="AG396" s="25"/>
      <c r="AH396" s="25"/>
      <c r="AI396" s="25"/>
      <c r="AJ396" s="6"/>
      <c r="AK396" s="19"/>
      <c r="AL396" s="19"/>
      <c r="AM396" s="19"/>
    </row>
    <row r="397" spans="1:39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25"/>
      <c r="AE397" s="25"/>
      <c r="AF397" s="25"/>
      <c r="AG397" s="25"/>
      <c r="AH397" s="25"/>
      <c r="AI397" s="25"/>
      <c r="AJ397" s="6"/>
      <c r="AK397" s="19"/>
      <c r="AL397" s="19"/>
      <c r="AM397" s="19"/>
    </row>
    <row r="398" spans="1:39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25"/>
      <c r="AE398" s="25"/>
      <c r="AF398" s="25"/>
      <c r="AG398" s="25"/>
      <c r="AH398" s="25"/>
      <c r="AI398" s="25"/>
      <c r="AJ398" s="6"/>
      <c r="AK398" s="19"/>
      <c r="AL398" s="19"/>
      <c r="AM398" s="19"/>
    </row>
    <row r="399" spans="1:3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25"/>
      <c r="AE399" s="25"/>
      <c r="AF399" s="25"/>
      <c r="AG399" s="25"/>
      <c r="AH399" s="25"/>
      <c r="AI399" s="25"/>
      <c r="AJ399" s="6"/>
      <c r="AK399" s="19"/>
      <c r="AL399" s="19"/>
      <c r="AM399" s="19"/>
    </row>
    <row r="400" spans="1:39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25"/>
      <c r="AE400" s="25"/>
      <c r="AF400" s="25"/>
      <c r="AG400" s="25"/>
      <c r="AH400" s="25"/>
      <c r="AI400" s="25"/>
      <c r="AJ400" s="6"/>
      <c r="AK400" s="19"/>
      <c r="AL400" s="19"/>
      <c r="AM400" s="19"/>
    </row>
    <row r="401" spans="1:39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25"/>
      <c r="AE401" s="25"/>
      <c r="AF401" s="25"/>
      <c r="AG401" s="25"/>
      <c r="AH401" s="25"/>
      <c r="AI401" s="25"/>
      <c r="AJ401" s="6"/>
      <c r="AK401" s="19"/>
      <c r="AL401" s="19"/>
      <c r="AM401" s="19"/>
    </row>
    <row r="402" spans="1:39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25"/>
      <c r="AE402" s="25"/>
      <c r="AF402" s="25"/>
      <c r="AG402" s="25"/>
      <c r="AH402" s="25"/>
      <c r="AI402" s="25"/>
      <c r="AJ402" s="6"/>
      <c r="AK402" s="19"/>
      <c r="AL402" s="19"/>
      <c r="AM402" s="19"/>
    </row>
    <row r="403" spans="1:39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25"/>
      <c r="AE403" s="25"/>
      <c r="AF403" s="25"/>
      <c r="AG403" s="25"/>
      <c r="AH403" s="25"/>
      <c r="AI403" s="25"/>
      <c r="AJ403" s="6"/>
      <c r="AK403" s="19"/>
      <c r="AL403" s="19"/>
      <c r="AM403" s="19"/>
    </row>
    <row r="404" spans="1:39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25"/>
      <c r="AE404" s="25"/>
      <c r="AF404" s="25"/>
      <c r="AG404" s="25"/>
      <c r="AH404" s="25"/>
      <c r="AI404" s="25"/>
      <c r="AJ404" s="6"/>
      <c r="AK404" s="19"/>
      <c r="AL404" s="19"/>
      <c r="AM404" s="19"/>
    </row>
    <row r="405" spans="1:39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25"/>
      <c r="AE405" s="25"/>
      <c r="AF405" s="25"/>
      <c r="AG405" s="25"/>
      <c r="AH405" s="25"/>
      <c r="AI405" s="25"/>
      <c r="AJ405" s="6"/>
      <c r="AK405" s="19"/>
      <c r="AL405" s="19"/>
      <c r="AM405" s="19"/>
    </row>
    <row r="406" spans="1:39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25"/>
      <c r="AE406" s="25"/>
      <c r="AF406" s="25"/>
      <c r="AG406" s="25"/>
      <c r="AH406" s="25"/>
      <c r="AI406" s="25"/>
      <c r="AJ406" s="6"/>
      <c r="AK406" s="19"/>
      <c r="AL406" s="19"/>
      <c r="AM406" s="19"/>
    </row>
    <row r="407" spans="1:39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25"/>
      <c r="AE407" s="25"/>
      <c r="AF407" s="25"/>
      <c r="AG407" s="25"/>
      <c r="AH407" s="25"/>
      <c r="AI407" s="25"/>
      <c r="AJ407" s="6"/>
      <c r="AK407" s="19"/>
      <c r="AL407" s="19"/>
      <c r="AM407" s="19"/>
    </row>
    <row r="408" spans="1:39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25"/>
      <c r="AE408" s="25"/>
      <c r="AF408" s="25"/>
      <c r="AG408" s="25"/>
      <c r="AH408" s="25"/>
      <c r="AI408" s="25"/>
      <c r="AJ408" s="6"/>
      <c r="AK408" s="19"/>
      <c r="AL408" s="19"/>
      <c r="AM408" s="19"/>
    </row>
    <row r="409" spans="1:3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25"/>
      <c r="AE409" s="25"/>
      <c r="AF409" s="25"/>
      <c r="AG409" s="25"/>
      <c r="AH409" s="25"/>
      <c r="AI409" s="25"/>
      <c r="AJ409" s="6"/>
      <c r="AK409" s="19"/>
      <c r="AL409" s="19"/>
      <c r="AM409" s="19"/>
    </row>
    <row r="410" spans="1:39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25"/>
      <c r="AE410" s="25"/>
      <c r="AF410" s="25"/>
      <c r="AG410" s="25"/>
      <c r="AH410" s="25"/>
      <c r="AI410" s="25"/>
      <c r="AJ410" s="6"/>
      <c r="AK410" s="19"/>
      <c r="AL410" s="19"/>
      <c r="AM410" s="19"/>
    </row>
    <row r="411" spans="1:39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25"/>
      <c r="AE411" s="25"/>
      <c r="AF411" s="25"/>
      <c r="AG411" s="25"/>
      <c r="AH411" s="25"/>
      <c r="AI411" s="25"/>
      <c r="AJ411" s="6"/>
      <c r="AK411" s="19"/>
      <c r="AL411" s="19"/>
      <c r="AM411" s="19"/>
    </row>
    <row r="412" spans="1:39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25"/>
      <c r="AE412" s="25"/>
      <c r="AF412" s="25"/>
      <c r="AG412" s="25"/>
      <c r="AH412" s="25"/>
      <c r="AI412" s="25"/>
      <c r="AJ412" s="6"/>
      <c r="AK412" s="19"/>
      <c r="AL412" s="19"/>
      <c r="AM412" s="19"/>
    </row>
    <row r="413" spans="1:39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25"/>
      <c r="AE413" s="25"/>
      <c r="AF413" s="25"/>
      <c r="AG413" s="25"/>
      <c r="AH413" s="25"/>
      <c r="AI413" s="25"/>
      <c r="AJ413" s="6"/>
      <c r="AK413" s="19"/>
      <c r="AL413" s="19"/>
      <c r="AM413" s="19"/>
    </row>
    <row r="414" spans="1:39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25"/>
      <c r="AE414" s="25"/>
      <c r="AF414" s="25"/>
      <c r="AG414" s="25"/>
      <c r="AH414" s="25"/>
      <c r="AI414" s="25"/>
      <c r="AJ414" s="6"/>
      <c r="AK414" s="19"/>
      <c r="AL414" s="19"/>
      <c r="AM414" s="19"/>
    </row>
    <row r="415" spans="1:39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25"/>
      <c r="AE415" s="25"/>
      <c r="AF415" s="25"/>
      <c r="AG415" s="25"/>
      <c r="AH415" s="25"/>
      <c r="AI415" s="25"/>
      <c r="AJ415" s="6"/>
      <c r="AK415" s="19"/>
      <c r="AL415" s="19"/>
      <c r="AM415" s="19"/>
    </row>
    <row r="416" spans="1:39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25"/>
      <c r="AE416" s="25"/>
      <c r="AF416" s="25"/>
      <c r="AG416" s="25"/>
      <c r="AH416" s="25"/>
      <c r="AI416" s="25"/>
      <c r="AJ416" s="6"/>
      <c r="AK416" s="19"/>
      <c r="AL416" s="19"/>
      <c r="AM416" s="19"/>
    </row>
    <row r="417" spans="1:39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25"/>
      <c r="AE417" s="25"/>
      <c r="AF417" s="25"/>
      <c r="AG417" s="25"/>
      <c r="AH417" s="25"/>
      <c r="AI417" s="25"/>
      <c r="AJ417" s="6"/>
      <c r="AK417" s="19"/>
      <c r="AL417" s="19"/>
      <c r="AM417" s="19"/>
    </row>
    <row r="418" spans="1:39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25"/>
      <c r="AE418" s="25"/>
      <c r="AF418" s="25"/>
      <c r="AG418" s="25"/>
      <c r="AH418" s="25"/>
      <c r="AI418" s="25"/>
      <c r="AJ418" s="6"/>
      <c r="AK418" s="19"/>
      <c r="AL418" s="19"/>
      <c r="AM418" s="19"/>
    </row>
    <row r="419" spans="1:3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25"/>
      <c r="AE419" s="25"/>
      <c r="AF419" s="25"/>
      <c r="AG419" s="25"/>
      <c r="AH419" s="25"/>
      <c r="AI419" s="25"/>
      <c r="AJ419" s="6"/>
      <c r="AK419" s="19"/>
      <c r="AL419" s="19"/>
      <c r="AM419" s="19"/>
    </row>
    <row r="420" spans="1:39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25"/>
      <c r="AE420" s="25"/>
      <c r="AF420" s="25"/>
      <c r="AG420" s="25"/>
      <c r="AH420" s="25"/>
      <c r="AI420" s="25"/>
      <c r="AJ420" s="6"/>
      <c r="AK420" s="19"/>
      <c r="AL420" s="19"/>
      <c r="AM420" s="19"/>
    </row>
    <row r="421" spans="1:39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25"/>
      <c r="AE421" s="25"/>
      <c r="AF421" s="25"/>
      <c r="AG421" s="25"/>
      <c r="AH421" s="25"/>
      <c r="AI421" s="25"/>
      <c r="AJ421" s="6"/>
      <c r="AK421" s="19"/>
      <c r="AL421" s="19"/>
      <c r="AM421" s="19"/>
    </row>
    <row r="422" spans="1:39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25"/>
      <c r="AE422" s="25"/>
      <c r="AF422" s="25"/>
      <c r="AG422" s="25"/>
      <c r="AH422" s="25"/>
      <c r="AI422" s="25"/>
      <c r="AJ422" s="6"/>
      <c r="AK422" s="19"/>
      <c r="AL422" s="19"/>
      <c r="AM422" s="19"/>
    </row>
    <row r="423" spans="1:39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25"/>
      <c r="AE423" s="25"/>
      <c r="AF423" s="25"/>
      <c r="AG423" s="25"/>
      <c r="AH423" s="25"/>
      <c r="AI423" s="25"/>
      <c r="AJ423" s="6"/>
      <c r="AK423" s="19"/>
      <c r="AL423" s="19"/>
      <c r="AM423" s="19"/>
    </row>
    <row r="424" spans="1:39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25"/>
      <c r="AE424" s="25"/>
      <c r="AF424" s="25"/>
      <c r="AG424" s="25"/>
      <c r="AH424" s="25"/>
      <c r="AI424" s="25"/>
      <c r="AJ424" s="6"/>
      <c r="AK424" s="19"/>
      <c r="AL424" s="19"/>
      <c r="AM424" s="19"/>
    </row>
    <row r="425" spans="1:39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25"/>
      <c r="AE425" s="25"/>
      <c r="AF425" s="25"/>
      <c r="AG425" s="25"/>
      <c r="AH425" s="25"/>
      <c r="AI425" s="25"/>
      <c r="AJ425" s="6"/>
      <c r="AK425" s="19"/>
      <c r="AL425" s="19"/>
      <c r="AM425" s="19"/>
    </row>
    <row r="426" spans="1:39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25"/>
      <c r="AE426" s="25"/>
      <c r="AF426" s="25"/>
      <c r="AG426" s="25"/>
      <c r="AH426" s="25"/>
      <c r="AI426" s="25"/>
      <c r="AJ426" s="6"/>
      <c r="AK426" s="19"/>
      <c r="AL426" s="19"/>
      <c r="AM426" s="19"/>
    </row>
    <row r="427" spans="1:39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25"/>
      <c r="AE427" s="25"/>
      <c r="AF427" s="25"/>
      <c r="AG427" s="25"/>
      <c r="AH427" s="25"/>
      <c r="AI427" s="25"/>
      <c r="AJ427" s="6"/>
      <c r="AK427" s="19"/>
      <c r="AL427" s="19"/>
      <c r="AM427" s="19"/>
    </row>
    <row r="428" spans="1:39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25"/>
      <c r="AE428" s="25"/>
      <c r="AF428" s="25"/>
      <c r="AG428" s="25"/>
      <c r="AH428" s="25"/>
      <c r="AI428" s="25"/>
      <c r="AJ428" s="6"/>
      <c r="AK428" s="19"/>
      <c r="AL428" s="19"/>
      <c r="AM428" s="19"/>
    </row>
    <row r="429" spans="1:3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25"/>
      <c r="AE429" s="25"/>
      <c r="AF429" s="25"/>
      <c r="AG429" s="25"/>
      <c r="AH429" s="25"/>
      <c r="AI429" s="25"/>
      <c r="AJ429" s="6"/>
      <c r="AK429" s="19"/>
      <c r="AL429" s="19"/>
      <c r="AM429" s="19"/>
    </row>
    <row r="430" spans="1:39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25"/>
      <c r="AE430" s="25"/>
      <c r="AF430" s="25"/>
      <c r="AG430" s="25"/>
      <c r="AH430" s="25"/>
      <c r="AI430" s="25"/>
      <c r="AJ430" s="6"/>
      <c r="AK430" s="19"/>
      <c r="AL430" s="19"/>
      <c r="AM430" s="19"/>
    </row>
    <row r="431" spans="1:39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25"/>
      <c r="AE431" s="25"/>
      <c r="AF431" s="25"/>
      <c r="AG431" s="25"/>
      <c r="AH431" s="25"/>
      <c r="AI431" s="25"/>
      <c r="AJ431" s="6"/>
      <c r="AK431" s="19"/>
      <c r="AL431" s="19"/>
      <c r="AM431" s="19"/>
    </row>
    <row r="432" spans="1:39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25"/>
      <c r="AE432" s="25"/>
      <c r="AF432" s="25"/>
      <c r="AG432" s="25"/>
      <c r="AH432" s="25"/>
      <c r="AI432" s="25"/>
      <c r="AJ432" s="6"/>
      <c r="AK432" s="19"/>
      <c r="AL432" s="19"/>
      <c r="AM432" s="19"/>
    </row>
    <row r="433" spans="1:39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25"/>
      <c r="AE433" s="25"/>
      <c r="AF433" s="25"/>
      <c r="AG433" s="25"/>
      <c r="AH433" s="25"/>
      <c r="AI433" s="25"/>
      <c r="AJ433" s="6"/>
      <c r="AK433" s="19"/>
      <c r="AL433" s="19"/>
      <c r="AM433" s="19"/>
    </row>
    <row r="434" spans="1:39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25"/>
      <c r="AE434" s="25"/>
      <c r="AF434" s="25"/>
      <c r="AG434" s="25"/>
      <c r="AH434" s="25"/>
      <c r="AI434" s="25"/>
      <c r="AJ434" s="6"/>
      <c r="AK434" s="19"/>
      <c r="AL434" s="19"/>
      <c r="AM434" s="19"/>
    </row>
    <row r="435" spans="1:39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25"/>
      <c r="AE435" s="25"/>
      <c r="AF435" s="25"/>
      <c r="AG435" s="25"/>
      <c r="AH435" s="25"/>
      <c r="AI435" s="25"/>
      <c r="AJ435" s="6"/>
      <c r="AK435" s="19"/>
      <c r="AL435" s="19"/>
      <c r="AM435" s="19"/>
    </row>
    <row r="436" spans="1:39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25"/>
      <c r="AE436" s="25"/>
      <c r="AF436" s="25"/>
      <c r="AG436" s="25"/>
      <c r="AH436" s="25"/>
      <c r="AI436" s="25"/>
      <c r="AJ436" s="6"/>
      <c r="AK436" s="19"/>
      <c r="AL436" s="19"/>
      <c r="AM436" s="19"/>
    </row>
    <row r="437" spans="1:39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25"/>
      <c r="AE437" s="25"/>
      <c r="AF437" s="25"/>
      <c r="AG437" s="25"/>
      <c r="AH437" s="25"/>
      <c r="AI437" s="25"/>
      <c r="AJ437" s="6"/>
      <c r="AK437" s="19"/>
      <c r="AL437" s="19"/>
      <c r="AM437" s="19"/>
    </row>
    <row r="438" spans="1:39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25"/>
      <c r="AE438" s="25"/>
      <c r="AF438" s="25"/>
      <c r="AG438" s="25"/>
      <c r="AH438" s="25"/>
      <c r="AI438" s="25"/>
      <c r="AJ438" s="6"/>
      <c r="AK438" s="19"/>
      <c r="AL438" s="19"/>
      <c r="AM438" s="19"/>
    </row>
    <row r="439" spans="1: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25"/>
      <c r="AE439" s="25"/>
      <c r="AF439" s="25"/>
      <c r="AG439" s="25"/>
      <c r="AH439" s="25"/>
      <c r="AI439" s="25"/>
      <c r="AJ439" s="6"/>
      <c r="AK439" s="19"/>
      <c r="AL439" s="19"/>
      <c r="AM439" s="19"/>
    </row>
    <row r="440" spans="1:39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25"/>
      <c r="AE440" s="25"/>
      <c r="AF440" s="25"/>
      <c r="AG440" s="25"/>
      <c r="AH440" s="25"/>
      <c r="AI440" s="25"/>
      <c r="AJ440" s="6"/>
      <c r="AK440" s="19"/>
      <c r="AL440" s="19"/>
      <c r="AM440" s="19"/>
    </row>
    <row r="441" spans="1:39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25"/>
      <c r="AE441" s="25"/>
      <c r="AF441" s="25"/>
      <c r="AG441" s="25"/>
      <c r="AH441" s="25"/>
      <c r="AI441" s="25"/>
      <c r="AJ441" s="6"/>
      <c r="AK441" s="19"/>
      <c r="AL441" s="19"/>
      <c r="AM441" s="19"/>
    </row>
    <row r="442" spans="1:39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25"/>
      <c r="AE442" s="25"/>
      <c r="AF442" s="25"/>
      <c r="AG442" s="25"/>
      <c r="AH442" s="25"/>
      <c r="AI442" s="25"/>
      <c r="AJ442" s="6"/>
      <c r="AK442" s="19"/>
      <c r="AL442" s="19"/>
      <c r="AM442" s="19"/>
    </row>
    <row r="443" spans="1:39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25"/>
      <c r="AE443" s="25"/>
      <c r="AF443" s="25"/>
      <c r="AG443" s="25"/>
      <c r="AH443" s="25"/>
      <c r="AI443" s="25"/>
      <c r="AJ443" s="6"/>
      <c r="AK443" s="19"/>
      <c r="AL443" s="19"/>
      <c r="AM443" s="19"/>
    </row>
    <row r="444" spans="1:39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25"/>
      <c r="AE444" s="25"/>
      <c r="AF444" s="25"/>
      <c r="AG444" s="25"/>
      <c r="AH444" s="25"/>
      <c r="AI444" s="25"/>
      <c r="AJ444" s="6"/>
      <c r="AK444" s="19"/>
      <c r="AL444" s="19"/>
      <c r="AM444" s="19"/>
    </row>
    <row r="445" spans="1:39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25"/>
      <c r="AE445" s="25"/>
      <c r="AF445" s="25"/>
      <c r="AG445" s="25"/>
      <c r="AH445" s="25"/>
      <c r="AI445" s="25"/>
      <c r="AJ445" s="6"/>
      <c r="AK445" s="19"/>
      <c r="AL445" s="19"/>
      <c r="AM445" s="19"/>
    </row>
    <row r="446" spans="1:39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25"/>
      <c r="AE446" s="25"/>
      <c r="AF446" s="25"/>
      <c r="AG446" s="25"/>
      <c r="AH446" s="25"/>
      <c r="AI446" s="25"/>
      <c r="AJ446" s="6"/>
      <c r="AK446" s="19"/>
      <c r="AL446" s="19"/>
      <c r="AM446" s="19"/>
    </row>
    <row r="447" spans="1:39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25"/>
      <c r="AE447" s="25"/>
      <c r="AF447" s="25"/>
      <c r="AG447" s="25"/>
      <c r="AH447" s="25"/>
      <c r="AI447" s="25"/>
      <c r="AJ447" s="6"/>
      <c r="AK447" s="19"/>
      <c r="AL447" s="19"/>
      <c r="AM447" s="19"/>
    </row>
    <row r="448" spans="1:39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25"/>
      <c r="AE448" s="25"/>
      <c r="AF448" s="25"/>
      <c r="AG448" s="25"/>
      <c r="AH448" s="25"/>
      <c r="AI448" s="25"/>
      <c r="AJ448" s="6"/>
      <c r="AK448" s="19"/>
      <c r="AL448" s="19"/>
      <c r="AM448" s="19"/>
    </row>
    <row r="449" spans="1:3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25"/>
      <c r="AE449" s="25"/>
      <c r="AF449" s="25"/>
      <c r="AG449" s="25"/>
      <c r="AH449" s="25"/>
      <c r="AI449" s="25"/>
      <c r="AJ449" s="6"/>
      <c r="AK449" s="19"/>
      <c r="AL449" s="19"/>
      <c r="AM449" s="19"/>
    </row>
    <row r="450" spans="1:39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25"/>
      <c r="AE450" s="25"/>
      <c r="AF450" s="25"/>
      <c r="AG450" s="25"/>
      <c r="AH450" s="25"/>
      <c r="AI450" s="25"/>
      <c r="AJ450" s="6"/>
      <c r="AK450" s="19"/>
      <c r="AL450" s="19"/>
      <c r="AM450" s="19"/>
    </row>
    <row r="451" spans="1:39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25"/>
      <c r="AE451" s="25"/>
      <c r="AF451" s="25"/>
      <c r="AG451" s="25"/>
      <c r="AH451" s="25"/>
      <c r="AI451" s="25"/>
      <c r="AJ451" s="6"/>
      <c r="AK451" s="19"/>
      <c r="AL451" s="19"/>
      <c r="AM451" s="19"/>
    </row>
    <row r="452" spans="1:39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25"/>
      <c r="AE452" s="25"/>
      <c r="AF452" s="25"/>
      <c r="AG452" s="25"/>
      <c r="AH452" s="25"/>
      <c r="AI452" s="25"/>
      <c r="AJ452" s="6"/>
      <c r="AK452" s="19"/>
      <c r="AL452" s="19"/>
      <c r="AM452" s="19"/>
    </row>
    <row r="453" spans="1:39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25"/>
      <c r="AE453" s="25"/>
      <c r="AF453" s="25"/>
      <c r="AG453" s="25"/>
      <c r="AH453" s="25"/>
      <c r="AI453" s="25"/>
      <c r="AJ453" s="6"/>
      <c r="AK453" s="19"/>
      <c r="AL453" s="19"/>
      <c r="AM453" s="19"/>
    </row>
    <row r="454" spans="1:39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25"/>
      <c r="AE454" s="25"/>
      <c r="AF454" s="25"/>
      <c r="AG454" s="25"/>
      <c r="AH454" s="25"/>
      <c r="AI454" s="25"/>
      <c r="AJ454" s="6"/>
      <c r="AK454" s="19"/>
      <c r="AL454" s="19"/>
      <c r="AM454" s="19"/>
    </row>
    <row r="455" spans="1:39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25"/>
      <c r="AE455" s="25"/>
      <c r="AF455" s="25"/>
      <c r="AG455" s="25"/>
      <c r="AH455" s="25"/>
      <c r="AI455" s="25"/>
      <c r="AJ455" s="6"/>
      <c r="AK455" s="19"/>
      <c r="AL455" s="19"/>
      <c r="AM455" s="19"/>
    </row>
    <row r="456" spans="1:39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25"/>
      <c r="AE456" s="25"/>
      <c r="AF456" s="25"/>
      <c r="AG456" s="25"/>
      <c r="AH456" s="25"/>
      <c r="AI456" s="25"/>
      <c r="AJ456" s="6"/>
      <c r="AK456" s="19"/>
      <c r="AL456" s="19"/>
      <c r="AM456" s="19"/>
    </row>
    <row r="457" spans="1:39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25"/>
      <c r="AE457" s="25"/>
      <c r="AF457" s="25"/>
      <c r="AG457" s="25"/>
      <c r="AH457" s="25"/>
      <c r="AI457" s="25"/>
      <c r="AJ457" s="6"/>
      <c r="AK457" s="19"/>
      <c r="AL457" s="19"/>
      <c r="AM457" s="19"/>
    </row>
    <row r="458" spans="1:39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25"/>
      <c r="AE458" s="25"/>
      <c r="AF458" s="25"/>
      <c r="AG458" s="25"/>
      <c r="AH458" s="25"/>
      <c r="AI458" s="25"/>
      <c r="AJ458" s="6"/>
      <c r="AK458" s="19"/>
      <c r="AL458" s="19"/>
      <c r="AM458" s="19"/>
    </row>
    <row r="459" spans="1:3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25"/>
      <c r="AE459" s="25"/>
      <c r="AF459" s="25"/>
      <c r="AG459" s="25"/>
      <c r="AH459" s="25"/>
      <c r="AI459" s="25"/>
      <c r="AJ459" s="6"/>
      <c r="AK459" s="19"/>
      <c r="AL459" s="19"/>
      <c r="AM459" s="19"/>
    </row>
    <row r="460" spans="1:39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25"/>
      <c r="AE460" s="25"/>
      <c r="AF460" s="25"/>
      <c r="AG460" s="25"/>
      <c r="AH460" s="25"/>
      <c r="AI460" s="25"/>
      <c r="AJ460" s="6"/>
      <c r="AK460" s="19"/>
      <c r="AL460" s="19"/>
      <c r="AM460" s="19"/>
    </row>
    <row r="461" spans="1:39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25"/>
      <c r="AE461" s="25"/>
      <c r="AF461" s="25"/>
      <c r="AG461" s="25"/>
      <c r="AH461" s="25"/>
      <c r="AI461" s="25"/>
      <c r="AJ461" s="6"/>
      <c r="AK461" s="19"/>
      <c r="AL461" s="19"/>
      <c r="AM461" s="19"/>
    </row>
    <row r="462" spans="1:39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25"/>
      <c r="AE462" s="25"/>
      <c r="AF462" s="25"/>
      <c r="AG462" s="25"/>
      <c r="AH462" s="25"/>
      <c r="AI462" s="25"/>
      <c r="AJ462" s="6"/>
      <c r="AK462" s="19"/>
      <c r="AL462" s="19"/>
      <c r="AM462" s="19"/>
    </row>
    <row r="463" spans="1:39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25"/>
      <c r="AE463" s="25"/>
      <c r="AF463" s="25"/>
      <c r="AG463" s="25"/>
      <c r="AH463" s="25"/>
      <c r="AI463" s="25"/>
      <c r="AJ463" s="6"/>
      <c r="AK463" s="19"/>
      <c r="AL463" s="19"/>
      <c r="AM463" s="19"/>
    </row>
    <row r="464" spans="1:39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25"/>
      <c r="AE464" s="25"/>
      <c r="AF464" s="25"/>
      <c r="AG464" s="25"/>
      <c r="AH464" s="25"/>
      <c r="AI464" s="25"/>
      <c r="AJ464" s="6"/>
      <c r="AK464" s="19"/>
      <c r="AL464" s="19"/>
      <c r="AM464" s="19"/>
    </row>
    <row r="465" spans="1:39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25"/>
      <c r="AE465" s="25"/>
      <c r="AF465" s="25"/>
      <c r="AG465" s="25"/>
      <c r="AH465" s="25"/>
      <c r="AI465" s="25"/>
      <c r="AJ465" s="6"/>
      <c r="AK465" s="19"/>
      <c r="AL465" s="19"/>
      <c r="AM465" s="19"/>
    </row>
    <row r="466" spans="1:39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25"/>
      <c r="AE466" s="25"/>
      <c r="AF466" s="25"/>
      <c r="AG466" s="25"/>
      <c r="AH466" s="25"/>
      <c r="AI466" s="25"/>
      <c r="AJ466" s="6"/>
      <c r="AK466" s="19"/>
      <c r="AL466" s="19"/>
      <c r="AM466" s="19"/>
    </row>
    <row r="467" spans="1:39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25"/>
      <c r="AE467" s="25"/>
      <c r="AF467" s="25"/>
      <c r="AG467" s="25"/>
      <c r="AH467" s="25"/>
      <c r="AI467" s="25"/>
      <c r="AJ467" s="6"/>
      <c r="AK467" s="19"/>
      <c r="AL467" s="19"/>
      <c r="AM467" s="19"/>
    </row>
    <row r="468" spans="1:39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25"/>
      <c r="AE468" s="25"/>
      <c r="AF468" s="25"/>
      <c r="AG468" s="25"/>
      <c r="AH468" s="25"/>
      <c r="AI468" s="25"/>
      <c r="AJ468" s="6"/>
      <c r="AK468" s="19"/>
      <c r="AL468" s="19"/>
      <c r="AM468" s="19"/>
    </row>
    <row r="469" spans="1:3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25"/>
      <c r="AE469" s="25"/>
      <c r="AF469" s="25"/>
      <c r="AG469" s="25"/>
      <c r="AH469" s="25"/>
      <c r="AI469" s="25"/>
      <c r="AJ469" s="6"/>
      <c r="AK469" s="19"/>
      <c r="AL469" s="19"/>
      <c r="AM469" s="19"/>
    </row>
    <row r="470" spans="1:39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25"/>
      <c r="AE470" s="25"/>
      <c r="AF470" s="25"/>
      <c r="AG470" s="25"/>
      <c r="AH470" s="25"/>
      <c r="AI470" s="25"/>
      <c r="AJ470" s="6"/>
      <c r="AK470" s="19"/>
      <c r="AL470" s="19"/>
      <c r="AM470" s="19"/>
    </row>
    <row r="471" spans="1:39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25"/>
      <c r="AE471" s="25"/>
      <c r="AF471" s="25"/>
      <c r="AG471" s="25"/>
      <c r="AH471" s="25"/>
      <c r="AI471" s="25"/>
      <c r="AJ471" s="6"/>
      <c r="AK471" s="19"/>
      <c r="AL471" s="19"/>
      <c r="AM471" s="19"/>
    </row>
    <row r="472" spans="1:39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25"/>
      <c r="AE472" s="25"/>
      <c r="AF472" s="25"/>
      <c r="AG472" s="25"/>
      <c r="AH472" s="25"/>
      <c r="AI472" s="25"/>
      <c r="AJ472" s="6"/>
      <c r="AK472" s="19"/>
      <c r="AL472" s="19"/>
      <c r="AM472" s="19"/>
    </row>
    <row r="473" spans="1:39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25"/>
      <c r="AE473" s="25"/>
      <c r="AF473" s="25"/>
      <c r="AG473" s="25"/>
      <c r="AH473" s="25"/>
      <c r="AI473" s="25"/>
      <c r="AJ473" s="6"/>
      <c r="AK473" s="19"/>
      <c r="AL473" s="19"/>
      <c r="AM473" s="19"/>
    </row>
    <row r="474" spans="1:39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25"/>
      <c r="AE474" s="25"/>
      <c r="AF474" s="25"/>
      <c r="AG474" s="25"/>
      <c r="AH474" s="25"/>
      <c r="AI474" s="25"/>
      <c r="AJ474" s="6"/>
      <c r="AK474" s="19"/>
      <c r="AL474" s="19"/>
      <c r="AM474" s="19"/>
    </row>
    <row r="475" spans="1:39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25"/>
      <c r="AE475" s="25"/>
      <c r="AF475" s="25"/>
      <c r="AG475" s="25"/>
      <c r="AH475" s="25"/>
      <c r="AI475" s="25"/>
      <c r="AJ475" s="6"/>
      <c r="AK475" s="19"/>
      <c r="AL475" s="19"/>
      <c r="AM475" s="19"/>
    </row>
    <row r="476" spans="1:39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25"/>
      <c r="AE476" s="25"/>
      <c r="AF476" s="25"/>
      <c r="AG476" s="25"/>
      <c r="AH476" s="25"/>
      <c r="AI476" s="25"/>
      <c r="AJ476" s="6"/>
      <c r="AK476" s="19"/>
      <c r="AL476" s="19"/>
      <c r="AM476" s="19"/>
    </row>
    <row r="477" spans="1:39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25"/>
      <c r="AE477" s="25"/>
      <c r="AF477" s="25"/>
      <c r="AG477" s="25"/>
      <c r="AH477" s="25"/>
      <c r="AI477" s="25"/>
      <c r="AJ477" s="6"/>
      <c r="AK477" s="19"/>
      <c r="AL477" s="19"/>
      <c r="AM477" s="19"/>
    </row>
    <row r="478" spans="1:39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25"/>
      <c r="AE478" s="25"/>
      <c r="AF478" s="25"/>
      <c r="AG478" s="25"/>
      <c r="AH478" s="25"/>
      <c r="AI478" s="25"/>
      <c r="AJ478" s="6"/>
      <c r="AK478" s="19"/>
      <c r="AL478" s="19"/>
      <c r="AM478" s="19"/>
    </row>
    <row r="479" spans="1:3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25"/>
      <c r="AE479" s="25"/>
      <c r="AF479" s="25"/>
      <c r="AG479" s="25"/>
      <c r="AH479" s="25"/>
      <c r="AI479" s="25"/>
      <c r="AJ479" s="6"/>
      <c r="AK479" s="19"/>
      <c r="AL479" s="19"/>
      <c r="AM479" s="19"/>
    </row>
    <row r="480" spans="1:39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25"/>
      <c r="AE480" s="25"/>
      <c r="AF480" s="25"/>
      <c r="AG480" s="25"/>
      <c r="AH480" s="25"/>
      <c r="AI480" s="25"/>
      <c r="AJ480" s="6"/>
      <c r="AK480" s="19"/>
      <c r="AL480" s="19"/>
      <c r="AM480" s="19"/>
    </row>
    <row r="481" spans="1:39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25"/>
      <c r="AE481" s="25"/>
      <c r="AF481" s="25"/>
      <c r="AG481" s="25"/>
      <c r="AH481" s="25"/>
      <c r="AI481" s="25"/>
      <c r="AJ481" s="6"/>
      <c r="AK481" s="19"/>
      <c r="AL481" s="19"/>
      <c r="AM481" s="19"/>
    </row>
    <row r="482" spans="1:39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25"/>
      <c r="AE482" s="25"/>
      <c r="AF482" s="25"/>
      <c r="AG482" s="25"/>
      <c r="AH482" s="25"/>
      <c r="AI482" s="25"/>
      <c r="AJ482" s="6"/>
      <c r="AK482" s="19"/>
      <c r="AL482" s="19"/>
      <c r="AM482" s="19"/>
    </row>
    <row r="483" spans="1:39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25"/>
      <c r="AE483" s="25"/>
      <c r="AF483" s="25"/>
      <c r="AG483" s="25"/>
      <c r="AH483" s="25"/>
      <c r="AI483" s="25"/>
      <c r="AJ483" s="6"/>
      <c r="AK483" s="19"/>
      <c r="AL483" s="19"/>
      <c r="AM483" s="19"/>
    </row>
    <row r="484" spans="1:39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25"/>
      <c r="AE484" s="25"/>
      <c r="AF484" s="25"/>
      <c r="AG484" s="25"/>
      <c r="AH484" s="25"/>
      <c r="AI484" s="25"/>
      <c r="AJ484" s="6"/>
      <c r="AK484" s="19"/>
      <c r="AL484" s="19"/>
      <c r="AM484" s="19"/>
    </row>
    <row r="485" spans="1:39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25"/>
      <c r="AE485" s="25"/>
      <c r="AF485" s="25"/>
      <c r="AG485" s="25"/>
      <c r="AH485" s="25"/>
      <c r="AI485" s="25"/>
      <c r="AJ485" s="6"/>
      <c r="AK485" s="19"/>
      <c r="AL485" s="19"/>
      <c r="AM485" s="19"/>
    </row>
    <row r="486" spans="1:39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25"/>
      <c r="AE486" s="25"/>
      <c r="AF486" s="25"/>
      <c r="AG486" s="25"/>
      <c r="AH486" s="25"/>
      <c r="AI486" s="25"/>
      <c r="AJ486" s="6"/>
      <c r="AK486" s="19"/>
      <c r="AL486" s="19"/>
      <c r="AM486" s="19"/>
    </row>
    <row r="487" spans="1:39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25"/>
      <c r="AE487" s="25"/>
      <c r="AF487" s="25"/>
      <c r="AG487" s="25"/>
      <c r="AH487" s="25"/>
      <c r="AI487" s="25"/>
      <c r="AJ487" s="6"/>
      <c r="AK487" s="19"/>
      <c r="AL487" s="19"/>
      <c r="AM487" s="19"/>
    </row>
    <row r="488" spans="1:39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25"/>
      <c r="AE488" s="25"/>
      <c r="AF488" s="25"/>
      <c r="AG488" s="25"/>
      <c r="AH488" s="25"/>
      <c r="AI488" s="25"/>
      <c r="AJ488" s="6"/>
      <c r="AK488" s="19"/>
      <c r="AL488" s="19"/>
      <c r="AM488" s="19"/>
    </row>
    <row r="489" spans="1:3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25"/>
      <c r="AE489" s="25"/>
      <c r="AF489" s="25"/>
      <c r="AG489" s="25"/>
      <c r="AH489" s="25"/>
      <c r="AI489" s="25"/>
      <c r="AJ489" s="6"/>
      <c r="AK489" s="19"/>
      <c r="AL489" s="19"/>
      <c r="AM489" s="19"/>
    </row>
    <row r="490" spans="1:39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25"/>
      <c r="AE490" s="25"/>
      <c r="AF490" s="25"/>
      <c r="AG490" s="25"/>
      <c r="AH490" s="25"/>
      <c r="AI490" s="25"/>
      <c r="AJ490" s="6"/>
      <c r="AK490" s="19"/>
      <c r="AL490" s="19"/>
      <c r="AM490" s="19"/>
    </row>
    <row r="491" spans="1:39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25"/>
      <c r="AE491" s="25"/>
      <c r="AF491" s="25"/>
      <c r="AG491" s="25"/>
      <c r="AH491" s="25"/>
      <c r="AI491" s="25"/>
      <c r="AJ491" s="6"/>
      <c r="AK491" s="19"/>
      <c r="AL491" s="19"/>
      <c r="AM491" s="19"/>
    </row>
    <row r="492" spans="1:39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25"/>
      <c r="AE492" s="25"/>
      <c r="AF492" s="25"/>
      <c r="AG492" s="25"/>
      <c r="AH492" s="25"/>
      <c r="AI492" s="25"/>
      <c r="AJ492" s="6"/>
      <c r="AK492" s="19"/>
      <c r="AL492" s="19"/>
      <c r="AM492" s="19"/>
    </row>
    <row r="493" spans="1:39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25"/>
      <c r="AE493" s="25"/>
      <c r="AF493" s="25"/>
      <c r="AG493" s="25"/>
      <c r="AH493" s="25"/>
      <c r="AI493" s="25"/>
      <c r="AJ493" s="6"/>
      <c r="AK493" s="19"/>
      <c r="AL493" s="19"/>
      <c r="AM493" s="19"/>
    </row>
    <row r="494" spans="1:39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25"/>
      <c r="AE494" s="25"/>
      <c r="AF494" s="25"/>
      <c r="AG494" s="25"/>
      <c r="AH494" s="25"/>
      <c r="AI494" s="25"/>
      <c r="AJ494" s="6"/>
      <c r="AK494" s="19"/>
      <c r="AL494" s="19"/>
      <c r="AM494" s="19"/>
    </row>
    <row r="495" spans="1:39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25"/>
      <c r="AE495" s="25"/>
      <c r="AF495" s="25"/>
      <c r="AG495" s="25"/>
      <c r="AH495" s="25"/>
      <c r="AI495" s="25"/>
      <c r="AJ495" s="6"/>
      <c r="AK495" s="19"/>
      <c r="AL495" s="19"/>
      <c r="AM495" s="19"/>
    </row>
    <row r="496" spans="1:39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25"/>
      <c r="AE496" s="25"/>
      <c r="AF496" s="25"/>
      <c r="AG496" s="25"/>
      <c r="AH496" s="25"/>
      <c r="AI496" s="25"/>
      <c r="AJ496" s="6"/>
      <c r="AK496" s="19"/>
      <c r="AL496" s="19"/>
      <c r="AM496" s="19"/>
    </row>
    <row r="497" spans="1:39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25"/>
      <c r="AE497" s="25"/>
      <c r="AF497" s="25"/>
      <c r="AG497" s="25"/>
      <c r="AH497" s="25"/>
      <c r="AI497" s="25"/>
      <c r="AJ497" s="6"/>
      <c r="AK497" s="19"/>
      <c r="AL497" s="19"/>
      <c r="AM497" s="19"/>
    </row>
    <row r="498" spans="1:39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25"/>
      <c r="AE498" s="25"/>
      <c r="AF498" s="25"/>
      <c r="AG498" s="25"/>
      <c r="AH498" s="25"/>
      <c r="AI498" s="25"/>
      <c r="AJ498" s="6"/>
      <c r="AK498" s="19"/>
      <c r="AL498" s="19"/>
      <c r="AM498" s="19"/>
    </row>
    <row r="499" spans="1:3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25"/>
      <c r="AE499" s="25"/>
      <c r="AF499" s="25"/>
      <c r="AG499" s="25"/>
      <c r="AH499" s="25"/>
      <c r="AI499" s="25"/>
      <c r="AJ499" s="6"/>
      <c r="AK499" s="19"/>
      <c r="AL499" s="19"/>
      <c r="AM499" s="19"/>
    </row>
    <row r="500" spans="1:39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25"/>
      <c r="AE500" s="25"/>
      <c r="AF500" s="25"/>
      <c r="AG500" s="25"/>
      <c r="AH500" s="25"/>
      <c r="AI500" s="25"/>
      <c r="AJ500" s="6"/>
      <c r="AK500" s="19"/>
      <c r="AL500" s="19"/>
      <c r="AM500" s="19"/>
    </row>
    <row r="501" spans="1:39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25"/>
      <c r="AE501" s="25"/>
      <c r="AF501" s="25"/>
      <c r="AG501" s="25"/>
      <c r="AH501" s="25"/>
      <c r="AI501" s="25"/>
      <c r="AJ501" s="6"/>
      <c r="AK501" s="19"/>
      <c r="AL501" s="19"/>
      <c r="AM501" s="19"/>
    </row>
    <row r="502" spans="1:39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25"/>
      <c r="AE502" s="25"/>
      <c r="AF502" s="25"/>
      <c r="AG502" s="25"/>
      <c r="AH502" s="25"/>
      <c r="AI502" s="25"/>
      <c r="AJ502" s="6"/>
      <c r="AK502" s="19"/>
      <c r="AL502" s="19"/>
      <c r="AM502" s="19"/>
    </row>
    <row r="503" spans="1:39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25"/>
      <c r="AE503" s="25"/>
      <c r="AF503" s="25"/>
      <c r="AG503" s="25"/>
      <c r="AH503" s="25"/>
      <c r="AI503" s="25"/>
      <c r="AJ503" s="6"/>
      <c r="AK503" s="19"/>
      <c r="AL503" s="19"/>
      <c r="AM503" s="19"/>
    </row>
    <row r="504" spans="1:39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25"/>
      <c r="AE504" s="25"/>
      <c r="AF504" s="25"/>
      <c r="AG504" s="25"/>
      <c r="AH504" s="25"/>
      <c r="AI504" s="25"/>
      <c r="AJ504" s="6"/>
      <c r="AK504" s="19"/>
      <c r="AL504" s="19"/>
      <c r="AM504" s="19"/>
    </row>
    <row r="505" spans="1:39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25"/>
      <c r="AE505" s="25"/>
      <c r="AF505" s="25"/>
      <c r="AG505" s="25"/>
      <c r="AH505" s="25"/>
      <c r="AI505" s="25"/>
      <c r="AJ505" s="6"/>
      <c r="AK505" s="19"/>
      <c r="AL505" s="19"/>
      <c r="AM505" s="19"/>
    </row>
    <row r="506" spans="1:39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25"/>
      <c r="AE506" s="25"/>
      <c r="AF506" s="25"/>
      <c r="AG506" s="25"/>
      <c r="AH506" s="25"/>
      <c r="AI506" s="25"/>
      <c r="AJ506" s="6"/>
      <c r="AK506" s="19"/>
      <c r="AL506" s="19"/>
      <c r="AM506" s="19"/>
    </row>
    <row r="507" spans="1:39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25"/>
      <c r="AE507" s="25"/>
      <c r="AF507" s="25"/>
      <c r="AG507" s="25"/>
      <c r="AH507" s="25"/>
      <c r="AI507" s="25"/>
      <c r="AJ507" s="6"/>
      <c r="AK507" s="19"/>
      <c r="AL507" s="19"/>
      <c r="AM507" s="19"/>
    </row>
    <row r="508" spans="1:39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25"/>
      <c r="AE508" s="25"/>
      <c r="AF508" s="25"/>
      <c r="AG508" s="25"/>
      <c r="AH508" s="25"/>
      <c r="AI508" s="25"/>
      <c r="AJ508" s="6"/>
      <c r="AK508" s="19"/>
      <c r="AL508" s="19"/>
      <c r="AM508" s="19"/>
    </row>
    <row r="509" spans="1:3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25"/>
      <c r="AE509" s="25"/>
      <c r="AF509" s="25"/>
      <c r="AG509" s="25"/>
      <c r="AH509" s="25"/>
      <c r="AI509" s="25"/>
      <c r="AJ509" s="6"/>
      <c r="AK509" s="19"/>
      <c r="AL509" s="19"/>
      <c r="AM509" s="19"/>
    </row>
    <row r="510" spans="1:39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25"/>
      <c r="AE510" s="25"/>
      <c r="AF510" s="25"/>
      <c r="AG510" s="25"/>
      <c r="AH510" s="25"/>
      <c r="AI510" s="25"/>
      <c r="AJ510" s="6"/>
      <c r="AK510" s="19"/>
      <c r="AL510" s="19"/>
      <c r="AM510" s="19"/>
    </row>
    <row r="511" spans="1:39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25"/>
      <c r="AE511" s="25"/>
      <c r="AF511" s="25"/>
      <c r="AG511" s="25"/>
      <c r="AH511" s="25"/>
      <c r="AI511" s="25"/>
      <c r="AJ511" s="6"/>
      <c r="AK511" s="19"/>
      <c r="AL511" s="19"/>
      <c r="AM511" s="19"/>
    </row>
    <row r="512" spans="1:39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25"/>
      <c r="AE512" s="25"/>
      <c r="AF512" s="25"/>
      <c r="AG512" s="25"/>
      <c r="AH512" s="25"/>
      <c r="AI512" s="25"/>
      <c r="AJ512" s="6"/>
      <c r="AK512" s="19"/>
      <c r="AL512" s="19"/>
      <c r="AM512" s="19"/>
    </row>
    <row r="513" spans="1:39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25"/>
      <c r="AE513" s="25"/>
      <c r="AF513" s="25"/>
      <c r="AG513" s="25"/>
      <c r="AH513" s="25"/>
      <c r="AI513" s="25"/>
      <c r="AJ513" s="6"/>
      <c r="AK513" s="19"/>
      <c r="AL513" s="19"/>
      <c r="AM513" s="19"/>
    </row>
    <row r="514" spans="1:39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25"/>
      <c r="AE514" s="25"/>
      <c r="AF514" s="25"/>
      <c r="AG514" s="25"/>
      <c r="AH514" s="25"/>
      <c r="AI514" s="25"/>
      <c r="AJ514" s="6"/>
      <c r="AK514" s="19"/>
      <c r="AL514" s="19"/>
      <c r="AM514" s="19"/>
    </row>
    <row r="515" spans="1:39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25"/>
      <c r="AE515" s="25"/>
      <c r="AF515" s="25"/>
      <c r="AG515" s="25"/>
      <c r="AH515" s="25"/>
      <c r="AI515" s="25"/>
      <c r="AJ515" s="6"/>
      <c r="AK515" s="19"/>
      <c r="AL515" s="19"/>
      <c r="AM515" s="19"/>
    </row>
    <row r="516" spans="1:39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25"/>
      <c r="AE516" s="25"/>
      <c r="AF516" s="25"/>
      <c r="AG516" s="25"/>
      <c r="AH516" s="25"/>
      <c r="AI516" s="25"/>
      <c r="AJ516" s="6"/>
      <c r="AK516" s="19"/>
      <c r="AL516" s="19"/>
      <c r="AM516" s="19"/>
    </row>
    <row r="517" spans="1:39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25"/>
      <c r="AE517" s="25"/>
      <c r="AF517" s="25"/>
      <c r="AG517" s="25"/>
      <c r="AH517" s="25"/>
      <c r="AI517" s="25"/>
      <c r="AJ517" s="6"/>
      <c r="AK517" s="19"/>
      <c r="AL517" s="19"/>
      <c r="AM517" s="19"/>
    </row>
    <row r="518" spans="1:39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25"/>
      <c r="AE518" s="25"/>
      <c r="AF518" s="25"/>
      <c r="AG518" s="25"/>
      <c r="AH518" s="25"/>
      <c r="AI518" s="25"/>
      <c r="AJ518" s="6"/>
      <c r="AK518" s="19"/>
      <c r="AL518" s="19"/>
      <c r="AM518" s="19"/>
    </row>
    <row r="519" spans="1:3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25"/>
      <c r="AE519" s="25"/>
      <c r="AF519" s="25"/>
      <c r="AG519" s="25"/>
      <c r="AH519" s="25"/>
      <c r="AI519" s="25"/>
      <c r="AJ519" s="6"/>
      <c r="AK519" s="19"/>
      <c r="AL519" s="19"/>
      <c r="AM519" s="19"/>
    </row>
    <row r="520" spans="1:39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25"/>
      <c r="AE520" s="25"/>
      <c r="AF520" s="25"/>
      <c r="AG520" s="25"/>
      <c r="AH520" s="25"/>
      <c r="AI520" s="25"/>
      <c r="AJ520" s="6"/>
      <c r="AK520" s="19"/>
      <c r="AL520" s="19"/>
      <c r="AM520" s="19"/>
    </row>
    <row r="521" spans="1:39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25"/>
      <c r="AE521" s="25"/>
      <c r="AF521" s="25"/>
      <c r="AG521" s="25"/>
      <c r="AH521" s="25"/>
      <c r="AI521" s="25"/>
      <c r="AJ521" s="6"/>
      <c r="AK521" s="19"/>
      <c r="AL521" s="19"/>
      <c r="AM521" s="19"/>
    </row>
    <row r="522" spans="1:39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25"/>
      <c r="AE522" s="25"/>
      <c r="AF522" s="25"/>
      <c r="AG522" s="25"/>
      <c r="AH522" s="25"/>
      <c r="AI522" s="25"/>
      <c r="AJ522" s="6"/>
      <c r="AK522" s="19"/>
      <c r="AL522" s="19"/>
      <c r="AM522" s="19"/>
    </row>
    <row r="523" spans="1:39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25"/>
      <c r="AE523" s="25"/>
      <c r="AF523" s="25"/>
      <c r="AG523" s="25"/>
      <c r="AH523" s="25"/>
      <c r="AI523" s="25"/>
      <c r="AJ523" s="6"/>
      <c r="AK523" s="19"/>
      <c r="AL523" s="19"/>
      <c r="AM523" s="19"/>
    </row>
    <row r="524" spans="1:39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25"/>
      <c r="AE524" s="25"/>
      <c r="AF524" s="25"/>
      <c r="AG524" s="25"/>
      <c r="AH524" s="25"/>
      <c r="AI524" s="25"/>
      <c r="AJ524" s="6"/>
      <c r="AK524" s="19"/>
      <c r="AL524" s="19"/>
      <c r="AM524" s="19"/>
    </row>
    <row r="525" spans="1:39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25"/>
      <c r="AE525" s="25"/>
      <c r="AF525" s="25"/>
      <c r="AG525" s="25"/>
      <c r="AH525" s="25"/>
      <c r="AI525" s="25"/>
      <c r="AJ525" s="6"/>
      <c r="AK525" s="19"/>
      <c r="AL525" s="19"/>
      <c r="AM525" s="19"/>
    </row>
    <row r="526" spans="1:39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25"/>
      <c r="AE526" s="25"/>
      <c r="AF526" s="25"/>
      <c r="AG526" s="25"/>
      <c r="AH526" s="25"/>
      <c r="AI526" s="25"/>
      <c r="AJ526" s="6"/>
      <c r="AK526" s="19"/>
      <c r="AL526" s="19"/>
      <c r="AM526" s="19"/>
    </row>
    <row r="527" spans="1:39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25"/>
      <c r="AE527" s="25"/>
      <c r="AF527" s="25"/>
      <c r="AG527" s="25"/>
      <c r="AH527" s="25"/>
      <c r="AI527" s="25"/>
      <c r="AJ527" s="6"/>
      <c r="AK527" s="19"/>
      <c r="AL527" s="19"/>
      <c r="AM527" s="19"/>
    </row>
    <row r="528" spans="1:39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25"/>
      <c r="AE528" s="25"/>
      <c r="AF528" s="25"/>
      <c r="AG528" s="25"/>
      <c r="AH528" s="25"/>
      <c r="AI528" s="25"/>
      <c r="AJ528" s="6"/>
      <c r="AK528" s="19"/>
      <c r="AL528" s="19"/>
      <c r="AM528" s="19"/>
    </row>
    <row r="529" spans="1:3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25"/>
      <c r="AE529" s="25"/>
      <c r="AF529" s="25"/>
      <c r="AG529" s="25"/>
      <c r="AH529" s="25"/>
      <c r="AI529" s="25"/>
      <c r="AJ529" s="6"/>
      <c r="AK529" s="19"/>
      <c r="AL529" s="19"/>
      <c r="AM529" s="19"/>
    </row>
    <row r="530" spans="1:39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25"/>
      <c r="AE530" s="25"/>
      <c r="AF530" s="25"/>
      <c r="AG530" s="25"/>
      <c r="AH530" s="25"/>
      <c r="AI530" s="25"/>
      <c r="AJ530" s="6"/>
      <c r="AK530" s="19"/>
      <c r="AL530" s="19"/>
      <c r="AM530" s="19"/>
    </row>
    <row r="531" spans="1:39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25"/>
      <c r="AE531" s="25"/>
      <c r="AF531" s="25"/>
      <c r="AG531" s="25"/>
      <c r="AH531" s="25"/>
      <c r="AI531" s="25"/>
      <c r="AJ531" s="6"/>
      <c r="AK531" s="19"/>
      <c r="AL531" s="19"/>
      <c r="AM531" s="19"/>
    </row>
    <row r="532" spans="1:39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25"/>
      <c r="AE532" s="25"/>
      <c r="AF532" s="25"/>
      <c r="AG532" s="25"/>
      <c r="AH532" s="25"/>
      <c r="AI532" s="25"/>
      <c r="AJ532" s="6"/>
      <c r="AK532" s="19"/>
      <c r="AL532" s="19"/>
      <c r="AM532" s="19"/>
    </row>
    <row r="533" spans="1:39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25"/>
      <c r="AE533" s="25"/>
      <c r="AF533" s="25"/>
      <c r="AG533" s="25"/>
      <c r="AH533" s="25"/>
      <c r="AI533" s="25"/>
      <c r="AJ533" s="6"/>
      <c r="AK533" s="19"/>
      <c r="AL533" s="19"/>
      <c r="AM533" s="19"/>
    </row>
    <row r="534" spans="1:39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25"/>
      <c r="AE534" s="25"/>
      <c r="AF534" s="25"/>
      <c r="AG534" s="25"/>
      <c r="AH534" s="25"/>
      <c r="AI534" s="25"/>
      <c r="AJ534" s="6"/>
      <c r="AK534" s="19"/>
      <c r="AL534" s="19"/>
      <c r="AM534" s="19"/>
    </row>
    <row r="535" spans="1:39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25"/>
      <c r="AE535" s="25"/>
      <c r="AF535" s="25"/>
      <c r="AG535" s="25"/>
      <c r="AH535" s="25"/>
      <c r="AI535" s="25"/>
      <c r="AJ535" s="6"/>
      <c r="AK535" s="19"/>
      <c r="AL535" s="19"/>
      <c r="AM535" s="19"/>
    </row>
    <row r="536" spans="1:39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25"/>
      <c r="AE536" s="25"/>
      <c r="AF536" s="25"/>
      <c r="AG536" s="25"/>
      <c r="AH536" s="25"/>
      <c r="AI536" s="25"/>
      <c r="AJ536" s="6"/>
      <c r="AK536" s="19"/>
      <c r="AL536" s="19"/>
      <c r="AM536" s="19"/>
    </row>
    <row r="537" spans="1:39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25"/>
      <c r="AE537" s="25"/>
      <c r="AF537" s="25"/>
      <c r="AG537" s="25"/>
      <c r="AH537" s="25"/>
      <c r="AI537" s="25"/>
      <c r="AJ537" s="6"/>
      <c r="AK537" s="19"/>
      <c r="AL537" s="19"/>
      <c r="AM537" s="19"/>
    </row>
    <row r="538" spans="1:39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25"/>
      <c r="AE538" s="25"/>
      <c r="AF538" s="25"/>
      <c r="AG538" s="25"/>
      <c r="AH538" s="25"/>
      <c r="AI538" s="25"/>
      <c r="AJ538" s="6"/>
      <c r="AK538" s="19"/>
      <c r="AL538" s="19"/>
      <c r="AM538" s="19"/>
    </row>
    <row r="539" spans="1: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25"/>
      <c r="AE539" s="25"/>
      <c r="AF539" s="25"/>
      <c r="AG539" s="25"/>
      <c r="AH539" s="25"/>
      <c r="AI539" s="25"/>
      <c r="AJ539" s="6"/>
      <c r="AK539" s="19"/>
      <c r="AL539" s="19"/>
      <c r="AM539" s="19"/>
    </row>
    <row r="540" spans="1:39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25"/>
      <c r="AE540" s="25"/>
      <c r="AF540" s="25"/>
      <c r="AG540" s="25"/>
      <c r="AH540" s="25"/>
      <c r="AI540" s="25"/>
      <c r="AJ540" s="6"/>
      <c r="AK540" s="19"/>
      <c r="AL540" s="19"/>
      <c r="AM540" s="19"/>
    </row>
    <row r="541" spans="1:39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25"/>
      <c r="AE541" s="25"/>
      <c r="AF541" s="25"/>
      <c r="AG541" s="25"/>
      <c r="AH541" s="25"/>
      <c r="AI541" s="25"/>
      <c r="AJ541" s="6"/>
      <c r="AK541" s="19"/>
      <c r="AL541" s="19"/>
      <c r="AM541" s="19"/>
    </row>
    <row r="542" spans="1:39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25"/>
      <c r="AE542" s="25"/>
      <c r="AF542" s="25"/>
      <c r="AG542" s="25"/>
      <c r="AH542" s="25"/>
      <c r="AI542" s="25"/>
      <c r="AJ542" s="6"/>
      <c r="AK542" s="19"/>
      <c r="AL542" s="19"/>
      <c r="AM542" s="19"/>
    </row>
    <row r="543" spans="1:39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25"/>
      <c r="AE543" s="25"/>
      <c r="AF543" s="25"/>
      <c r="AG543" s="25"/>
      <c r="AH543" s="25"/>
      <c r="AI543" s="25"/>
      <c r="AJ543" s="6"/>
      <c r="AK543" s="19"/>
      <c r="AL543" s="19"/>
      <c r="AM543" s="19"/>
    </row>
    <row r="544" spans="1:39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25"/>
      <c r="AE544" s="25"/>
      <c r="AF544" s="25"/>
      <c r="AG544" s="25"/>
      <c r="AH544" s="25"/>
      <c r="AI544" s="25"/>
      <c r="AJ544" s="6"/>
      <c r="AK544" s="19"/>
      <c r="AL544" s="19"/>
      <c r="AM544" s="19"/>
    </row>
    <row r="545" spans="1:39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25"/>
      <c r="AE545" s="25"/>
      <c r="AF545" s="25"/>
      <c r="AG545" s="25"/>
      <c r="AH545" s="25"/>
      <c r="AI545" s="25"/>
      <c r="AJ545" s="6"/>
      <c r="AK545" s="19"/>
      <c r="AL545" s="19"/>
      <c r="AM545" s="19"/>
    </row>
    <row r="546" spans="1:39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25"/>
      <c r="AE546" s="25"/>
      <c r="AF546" s="25"/>
      <c r="AG546" s="25"/>
      <c r="AH546" s="25"/>
      <c r="AI546" s="25"/>
      <c r="AJ546" s="6"/>
      <c r="AK546" s="19"/>
      <c r="AL546" s="19"/>
      <c r="AM546" s="19"/>
    </row>
    <row r="547" spans="1:39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25"/>
      <c r="AE547" s="25"/>
      <c r="AF547" s="25"/>
      <c r="AG547" s="25"/>
      <c r="AH547" s="25"/>
      <c r="AI547" s="25"/>
      <c r="AJ547" s="6"/>
      <c r="AK547" s="19"/>
      <c r="AL547" s="19"/>
      <c r="AM547" s="19"/>
    </row>
    <row r="548" spans="1:39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25"/>
      <c r="AE548" s="25"/>
      <c r="AF548" s="25"/>
      <c r="AG548" s="25"/>
      <c r="AH548" s="25"/>
      <c r="AI548" s="25"/>
      <c r="AJ548" s="6"/>
      <c r="AK548" s="19"/>
      <c r="AL548" s="19"/>
      <c r="AM548" s="19"/>
    </row>
    <row r="549" spans="1:3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25"/>
      <c r="AE549" s="25"/>
      <c r="AF549" s="25"/>
      <c r="AG549" s="25"/>
      <c r="AH549" s="25"/>
      <c r="AI549" s="25"/>
      <c r="AJ549" s="6"/>
      <c r="AK549" s="19"/>
      <c r="AL549" s="19"/>
      <c r="AM549" s="19"/>
    </row>
    <row r="550" spans="1:39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25"/>
      <c r="AE550" s="25"/>
      <c r="AF550" s="25"/>
      <c r="AG550" s="25"/>
      <c r="AH550" s="25"/>
      <c r="AI550" s="25"/>
      <c r="AJ550" s="6"/>
      <c r="AK550" s="19"/>
      <c r="AL550" s="19"/>
      <c r="AM550" s="19"/>
    </row>
    <row r="551" spans="1:39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25"/>
      <c r="AE551" s="25"/>
      <c r="AF551" s="25"/>
      <c r="AG551" s="25"/>
      <c r="AH551" s="25"/>
      <c r="AI551" s="25"/>
      <c r="AJ551" s="6"/>
      <c r="AK551" s="19"/>
      <c r="AL551" s="19"/>
      <c r="AM551" s="19"/>
    </row>
    <row r="552" spans="1:39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25"/>
      <c r="AE552" s="25"/>
      <c r="AF552" s="25"/>
      <c r="AG552" s="25"/>
      <c r="AH552" s="25"/>
      <c r="AI552" s="25"/>
      <c r="AJ552" s="6"/>
      <c r="AK552" s="19"/>
      <c r="AL552" s="19"/>
      <c r="AM552" s="19"/>
    </row>
    <row r="553" spans="1:39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25"/>
      <c r="AE553" s="25"/>
      <c r="AF553" s="25"/>
      <c r="AG553" s="25"/>
      <c r="AH553" s="25"/>
      <c r="AI553" s="25"/>
      <c r="AJ553" s="6"/>
      <c r="AK553" s="19"/>
      <c r="AL553" s="19"/>
      <c r="AM553" s="19"/>
    </row>
    <row r="554" spans="1:39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25"/>
      <c r="AE554" s="25"/>
      <c r="AF554" s="25"/>
      <c r="AG554" s="25"/>
      <c r="AH554" s="25"/>
      <c r="AI554" s="25"/>
      <c r="AJ554" s="6"/>
      <c r="AK554" s="19"/>
      <c r="AL554" s="19"/>
      <c r="AM554" s="19"/>
    </row>
    <row r="555" spans="1:39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25"/>
      <c r="AE555" s="25"/>
      <c r="AF555" s="25"/>
      <c r="AG555" s="25"/>
      <c r="AH555" s="25"/>
      <c r="AI555" s="25"/>
      <c r="AJ555" s="6"/>
      <c r="AK555" s="19"/>
      <c r="AL555" s="19"/>
      <c r="AM555" s="19"/>
    </row>
    <row r="556" spans="1:39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25"/>
      <c r="AE556" s="25"/>
      <c r="AF556" s="25"/>
      <c r="AG556" s="25"/>
      <c r="AH556" s="25"/>
      <c r="AI556" s="25"/>
      <c r="AJ556" s="6"/>
      <c r="AK556" s="19"/>
      <c r="AL556" s="19"/>
      <c r="AM556" s="19"/>
    </row>
    <row r="557" spans="1:39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25"/>
      <c r="AE557" s="25"/>
      <c r="AF557" s="25"/>
      <c r="AG557" s="25"/>
      <c r="AH557" s="25"/>
      <c r="AI557" s="25"/>
      <c r="AJ557" s="6"/>
      <c r="AK557" s="19"/>
      <c r="AL557" s="19"/>
      <c r="AM557" s="19"/>
    </row>
    <row r="558" spans="1:39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25"/>
      <c r="AE558" s="25"/>
      <c r="AF558" s="25"/>
      <c r="AG558" s="25"/>
      <c r="AH558" s="25"/>
      <c r="AI558" s="25"/>
      <c r="AJ558" s="6"/>
      <c r="AK558" s="19"/>
      <c r="AL558" s="19"/>
      <c r="AM558" s="19"/>
    </row>
    <row r="559" spans="1:3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25"/>
      <c r="AE559" s="25"/>
      <c r="AF559" s="25"/>
      <c r="AG559" s="25"/>
      <c r="AH559" s="25"/>
      <c r="AI559" s="25"/>
      <c r="AJ559" s="6"/>
      <c r="AK559" s="19"/>
      <c r="AL559" s="19"/>
      <c r="AM559" s="19"/>
    </row>
    <row r="560" spans="1:39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25"/>
      <c r="AE560" s="25"/>
      <c r="AF560" s="25"/>
      <c r="AG560" s="25"/>
      <c r="AH560" s="25"/>
      <c r="AI560" s="25"/>
      <c r="AJ560" s="6"/>
      <c r="AK560" s="19"/>
      <c r="AL560" s="19"/>
      <c r="AM560" s="19"/>
    </row>
    <row r="561" spans="1:39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25"/>
      <c r="AE561" s="25"/>
      <c r="AF561" s="25"/>
      <c r="AG561" s="25"/>
      <c r="AH561" s="25"/>
      <c r="AI561" s="25"/>
      <c r="AJ561" s="6"/>
      <c r="AK561" s="19"/>
      <c r="AL561" s="19"/>
      <c r="AM561" s="19"/>
    </row>
    <row r="562" spans="1:39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25"/>
      <c r="AE562" s="25"/>
      <c r="AF562" s="25"/>
      <c r="AG562" s="25"/>
      <c r="AH562" s="25"/>
      <c r="AI562" s="25"/>
      <c r="AJ562" s="6"/>
      <c r="AK562" s="19"/>
      <c r="AL562" s="19"/>
      <c r="AM562" s="19"/>
    </row>
    <row r="563" spans="1:39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25"/>
      <c r="AE563" s="25"/>
      <c r="AF563" s="25"/>
      <c r="AG563" s="25"/>
      <c r="AH563" s="25"/>
      <c r="AI563" s="25"/>
      <c r="AJ563" s="6"/>
      <c r="AK563" s="19"/>
      <c r="AL563" s="19"/>
      <c r="AM563" s="19"/>
    </row>
    <row r="564" spans="1:39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25"/>
      <c r="AE564" s="25"/>
      <c r="AF564" s="25"/>
      <c r="AG564" s="25"/>
      <c r="AH564" s="25"/>
      <c r="AI564" s="25"/>
      <c r="AJ564" s="6"/>
      <c r="AK564" s="19"/>
      <c r="AL564" s="19"/>
      <c r="AM564" s="19"/>
    </row>
    <row r="565" spans="1:39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25"/>
      <c r="AE565" s="25"/>
      <c r="AF565" s="25"/>
      <c r="AG565" s="25"/>
      <c r="AH565" s="25"/>
      <c r="AI565" s="25"/>
      <c r="AJ565" s="6"/>
      <c r="AK565" s="19"/>
      <c r="AL565" s="19"/>
      <c r="AM565" s="19"/>
    </row>
    <row r="566" spans="1:39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25"/>
      <c r="AE566" s="25"/>
      <c r="AF566" s="25"/>
      <c r="AG566" s="25"/>
      <c r="AH566" s="25"/>
      <c r="AI566" s="25"/>
      <c r="AJ566" s="6"/>
      <c r="AK566" s="19"/>
      <c r="AL566" s="19"/>
      <c r="AM566" s="19"/>
    </row>
    <row r="567" spans="1:39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25"/>
      <c r="AE567" s="25"/>
      <c r="AF567" s="25"/>
      <c r="AG567" s="25"/>
      <c r="AH567" s="25"/>
      <c r="AI567" s="25"/>
      <c r="AJ567" s="6"/>
      <c r="AK567" s="19"/>
      <c r="AL567" s="19"/>
      <c r="AM567" s="19"/>
    </row>
    <row r="568" spans="1:39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25"/>
      <c r="AE568" s="25"/>
      <c r="AF568" s="25"/>
      <c r="AG568" s="25"/>
      <c r="AH568" s="25"/>
      <c r="AI568" s="25"/>
      <c r="AJ568" s="6"/>
      <c r="AK568" s="19"/>
      <c r="AL568" s="19"/>
      <c r="AM568" s="19"/>
    </row>
    <row r="569" spans="1:3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25"/>
      <c r="AE569" s="25"/>
      <c r="AF569" s="25"/>
      <c r="AG569" s="25"/>
      <c r="AH569" s="25"/>
      <c r="AI569" s="25"/>
      <c r="AJ569" s="6"/>
      <c r="AK569" s="19"/>
      <c r="AL569" s="19"/>
      <c r="AM569" s="19"/>
    </row>
    <row r="570" spans="1:39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25"/>
      <c r="AE570" s="25"/>
      <c r="AF570" s="25"/>
      <c r="AG570" s="25"/>
      <c r="AH570" s="25"/>
      <c r="AI570" s="25"/>
      <c r="AJ570" s="6"/>
      <c r="AK570" s="19"/>
      <c r="AL570" s="19"/>
      <c r="AM570" s="19"/>
    </row>
    <row r="571" spans="1:39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25"/>
      <c r="AE571" s="25"/>
      <c r="AF571" s="25"/>
      <c r="AG571" s="25"/>
      <c r="AH571" s="25"/>
      <c r="AI571" s="25"/>
      <c r="AJ571" s="6"/>
      <c r="AK571" s="19"/>
      <c r="AL571" s="19"/>
      <c r="AM571" s="19"/>
    </row>
    <row r="572" spans="1:39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25"/>
      <c r="AE572" s="25"/>
      <c r="AF572" s="25"/>
      <c r="AG572" s="25"/>
      <c r="AH572" s="25"/>
      <c r="AI572" s="25"/>
      <c r="AJ572" s="6"/>
      <c r="AK572" s="19"/>
      <c r="AL572" s="19"/>
      <c r="AM572" s="19"/>
    </row>
    <row r="573" spans="1:39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25"/>
      <c r="AE573" s="25"/>
      <c r="AF573" s="25"/>
      <c r="AG573" s="25"/>
      <c r="AH573" s="25"/>
      <c r="AI573" s="25"/>
      <c r="AJ573" s="6"/>
      <c r="AK573" s="19"/>
      <c r="AL573" s="19"/>
      <c r="AM573" s="19"/>
    </row>
    <row r="574" spans="1:39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25"/>
      <c r="AE574" s="25"/>
      <c r="AF574" s="25"/>
      <c r="AG574" s="25"/>
      <c r="AH574" s="25"/>
      <c r="AI574" s="25"/>
      <c r="AJ574" s="6"/>
      <c r="AK574" s="19"/>
      <c r="AL574" s="19"/>
      <c r="AM574" s="19"/>
    </row>
    <row r="575" spans="1:39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25"/>
      <c r="AE575" s="25"/>
      <c r="AF575" s="25"/>
      <c r="AG575" s="25"/>
      <c r="AH575" s="25"/>
      <c r="AI575" s="25"/>
      <c r="AJ575" s="6"/>
      <c r="AK575" s="19"/>
      <c r="AL575" s="19"/>
      <c r="AM575" s="19"/>
    </row>
    <row r="576" spans="1:39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25"/>
      <c r="AE576" s="25"/>
      <c r="AF576" s="25"/>
      <c r="AG576" s="25"/>
      <c r="AH576" s="25"/>
      <c r="AI576" s="25"/>
      <c r="AJ576" s="6"/>
      <c r="AK576" s="19"/>
      <c r="AL576" s="19"/>
      <c r="AM576" s="19"/>
    </row>
    <row r="577" spans="1:39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25"/>
      <c r="AE577" s="25"/>
      <c r="AF577" s="25"/>
      <c r="AG577" s="25"/>
      <c r="AH577" s="25"/>
      <c r="AI577" s="25"/>
      <c r="AJ577" s="6"/>
      <c r="AK577" s="19"/>
      <c r="AL577" s="19"/>
      <c r="AM577" s="19"/>
    </row>
    <row r="578" spans="1:39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25"/>
      <c r="AE578" s="25"/>
      <c r="AF578" s="25"/>
      <c r="AG578" s="25"/>
      <c r="AH578" s="25"/>
      <c r="AI578" s="25"/>
      <c r="AJ578" s="6"/>
      <c r="AK578" s="19"/>
      <c r="AL578" s="19"/>
      <c r="AM578" s="19"/>
    </row>
    <row r="579" spans="1:3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25"/>
      <c r="AE579" s="25"/>
      <c r="AF579" s="25"/>
      <c r="AG579" s="25"/>
      <c r="AH579" s="25"/>
      <c r="AI579" s="25"/>
      <c r="AJ579" s="6"/>
      <c r="AK579" s="19"/>
      <c r="AL579" s="19"/>
      <c r="AM579" s="19"/>
    </row>
    <row r="580" spans="1:39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25"/>
      <c r="AE580" s="25"/>
      <c r="AF580" s="25"/>
      <c r="AG580" s="25"/>
      <c r="AH580" s="25"/>
      <c r="AI580" s="25"/>
      <c r="AJ580" s="6"/>
      <c r="AK580" s="19"/>
      <c r="AL580" s="19"/>
      <c r="AM580" s="19"/>
    </row>
    <row r="581" spans="1:39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25"/>
      <c r="AE581" s="25"/>
      <c r="AF581" s="25"/>
      <c r="AG581" s="25"/>
      <c r="AH581" s="25"/>
      <c r="AI581" s="25"/>
      <c r="AJ581" s="6"/>
      <c r="AK581" s="19"/>
      <c r="AL581" s="19"/>
      <c r="AM581" s="19"/>
    </row>
    <row r="582" spans="1:39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25"/>
      <c r="AE582" s="25"/>
      <c r="AF582" s="25"/>
      <c r="AG582" s="25"/>
      <c r="AH582" s="25"/>
      <c r="AI582" s="25"/>
      <c r="AJ582" s="6"/>
      <c r="AK582" s="19"/>
      <c r="AL582" s="19"/>
      <c r="AM582" s="19"/>
    </row>
    <row r="583" spans="1:39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25"/>
      <c r="AE583" s="25"/>
      <c r="AF583" s="25"/>
      <c r="AG583" s="25"/>
      <c r="AH583" s="25"/>
      <c r="AI583" s="25"/>
      <c r="AJ583" s="6"/>
      <c r="AK583" s="19"/>
      <c r="AL583" s="19"/>
      <c r="AM583" s="19"/>
    </row>
    <row r="584" spans="1:39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25"/>
      <c r="AE584" s="25"/>
      <c r="AF584" s="25"/>
      <c r="AG584" s="25"/>
      <c r="AH584" s="25"/>
      <c r="AI584" s="25"/>
      <c r="AJ584" s="6"/>
      <c r="AK584" s="19"/>
      <c r="AL584" s="19"/>
      <c r="AM584" s="19"/>
    </row>
    <row r="585" spans="1:39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25"/>
      <c r="AE585" s="25"/>
      <c r="AF585" s="25"/>
      <c r="AG585" s="25"/>
      <c r="AH585" s="25"/>
      <c r="AI585" s="25"/>
      <c r="AJ585" s="6"/>
      <c r="AK585" s="19"/>
      <c r="AL585" s="19"/>
      <c r="AM585" s="19"/>
    </row>
    <row r="586" spans="1:39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25"/>
      <c r="AE586" s="25"/>
      <c r="AF586" s="25"/>
      <c r="AG586" s="25"/>
      <c r="AH586" s="25"/>
      <c r="AI586" s="25"/>
      <c r="AJ586" s="6"/>
      <c r="AK586" s="19"/>
      <c r="AL586" s="19"/>
      <c r="AM586" s="19"/>
    </row>
    <row r="587" spans="1:39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25"/>
      <c r="AE587" s="25"/>
      <c r="AF587" s="25"/>
      <c r="AG587" s="25"/>
      <c r="AH587" s="25"/>
      <c r="AI587" s="25"/>
      <c r="AJ587" s="6"/>
      <c r="AK587" s="19"/>
      <c r="AL587" s="19"/>
      <c r="AM587" s="19"/>
    </row>
    <row r="588" spans="1:39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25"/>
      <c r="AE588" s="25"/>
      <c r="AF588" s="25"/>
      <c r="AG588" s="25"/>
      <c r="AH588" s="25"/>
      <c r="AI588" s="25"/>
      <c r="AJ588" s="6"/>
      <c r="AK588" s="19"/>
      <c r="AL588" s="19"/>
      <c r="AM588" s="19"/>
    </row>
    <row r="589" spans="1:3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25"/>
      <c r="AE589" s="25"/>
      <c r="AF589" s="25"/>
      <c r="AG589" s="25"/>
      <c r="AH589" s="25"/>
      <c r="AI589" s="25"/>
      <c r="AJ589" s="6"/>
      <c r="AK589" s="19"/>
      <c r="AL589" s="19"/>
      <c r="AM589" s="19"/>
    </row>
    <row r="590" spans="1:39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25"/>
      <c r="AE590" s="25"/>
      <c r="AF590" s="25"/>
      <c r="AG590" s="25"/>
      <c r="AH590" s="25"/>
      <c r="AI590" s="25"/>
      <c r="AJ590" s="6"/>
      <c r="AK590" s="19"/>
      <c r="AL590" s="19"/>
      <c r="AM590" s="19"/>
    </row>
    <row r="591" spans="1:39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25"/>
      <c r="AE591" s="25"/>
      <c r="AF591" s="25"/>
      <c r="AG591" s="25"/>
      <c r="AH591" s="25"/>
      <c r="AI591" s="25"/>
      <c r="AJ591" s="6"/>
      <c r="AK591" s="19"/>
      <c r="AL591" s="19"/>
      <c r="AM591" s="19"/>
    </row>
    <row r="592" spans="1:39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25"/>
      <c r="AE592" s="25"/>
      <c r="AF592" s="25"/>
      <c r="AG592" s="25"/>
      <c r="AH592" s="25"/>
      <c r="AI592" s="25"/>
      <c r="AJ592" s="6"/>
      <c r="AK592" s="19"/>
      <c r="AL592" s="19"/>
      <c r="AM592" s="19"/>
    </row>
    <row r="593" spans="1:39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25"/>
      <c r="AE593" s="25"/>
      <c r="AF593" s="25"/>
      <c r="AG593" s="25"/>
      <c r="AH593" s="25"/>
      <c r="AI593" s="25"/>
      <c r="AJ593" s="6"/>
      <c r="AK593" s="19"/>
      <c r="AL593" s="19"/>
      <c r="AM593" s="19"/>
    </row>
    <row r="594" spans="1:39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25"/>
      <c r="AE594" s="25"/>
      <c r="AF594" s="25"/>
      <c r="AG594" s="25"/>
      <c r="AH594" s="25"/>
      <c r="AI594" s="25"/>
      <c r="AJ594" s="6"/>
      <c r="AK594" s="19"/>
      <c r="AL594" s="19"/>
      <c r="AM594" s="19"/>
    </row>
    <row r="595" spans="1:39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25"/>
      <c r="AE595" s="25"/>
      <c r="AF595" s="25"/>
      <c r="AG595" s="25"/>
      <c r="AH595" s="25"/>
      <c r="AI595" s="25"/>
      <c r="AJ595" s="6"/>
      <c r="AK595" s="19"/>
      <c r="AL595" s="19"/>
      <c r="AM595" s="19"/>
    </row>
    <row r="596" spans="1:39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25"/>
      <c r="AE596" s="25"/>
      <c r="AF596" s="25"/>
      <c r="AG596" s="25"/>
      <c r="AH596" s="25"/>
      <c r="AI596" s="25"/>
      <c r="AJ596" s="6"/>
      <c r="AK596" s="19"/>
      <c r="AL596" s="19"/>
      <c r="AM596" s="19"/>
    </row>
    <row r="597" spans="1:39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25"/>
      <c r="AE597" s="25"/>
      <c r="AF597" s="25"/>
      <c r="AG597" s="25"/>
      <c r="AH597" s="25"/>
      <c r="AI597" s="25"/>
      <c r="AJ597" s="6"/>
      <c r="AK597" s="19"/>
      <c r="AL597" s="19"/>
      <c r="AM597" s="19"/>
    </row>
    <row r="598" spans="1:39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25"/>
      <c r="AE598" s="25"/>
      <c r="AF598" s="25"/>
      <c r="AG598" s="25"/>
      <c r="AH598" s="25"/>
      <c r="AI598" s="25"/>
      <c r="AJ598" s="6"/>
      <c r="AK598" s="19"/>
      <c r="AL598" s="19"/>
      <c r="AM598" s="19"/>
    </row>
    <row r="599" spans="1:3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25"/>
      <c r="AE599" s="25"/>
      <c r="AF599" s="25"/>
      <c r="AG599" s="25"/>
      <c r="AH599" s="25"/>
      <c r="AI599" s="25"/>
      <c r="AJ599" s="6"/>
      <c r="AK599" s="19"/>
      <c r="AL599" s="19"/>
      <c r="AM599" s="19"/>
    </row>
    <row r="600" spans="1:39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25"/>
      <c r="AE600" s="25"/>
      <c r="AF600" s="25"/>
      <c r="AG600" s="25"/>
      <c r="AH600" s="25"/>
      <c r="AI600" s="25"/>
      <c r="AJ600" s="6"/>
      <c r="AK600" s="19"/>
      <c r="AL600" s="19"/>
      <c r="AM600" s="19"/>
    </row>
    <row r="601" spans="1:39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25"/>
      <c r="AE601" s="25"/>
      <c r="AF601" s="25"/>
      <c r="AG601" s="25"/>
      <c r="AH601" s="25"/>
      <c r="AI601" s="25"/>
      <c r="AJ601" s="6"/>
      <c r="AK601" s="19"/>
      <c r="AL601" s="19"/>
      <c r="AM601" s="19"/>
    </row>
    <row r="602" spans="1:39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25"/>
      <c r="AE602" s="25"/>
      <c r="AF602" s="25"/>
      <c r="AG602" s="25"/>
      <c r="AH602" s="25"/>
      <c r="AI602" s="25"/>
      <c r="AJ602" s="6"/>
      <c r="AK602" s="19"/>
      <c r="AL602" s="19"/>
      <c r="AM602" s="19"/>
    </row>
    <row r="603" spans="1:39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25"/>
      <c r="AE603" s="25"/>
      <c r="AF603" s="25"/>
      <c r="AG603" s="25"/>
      <c r="AH603" s="25"/>
      <c r="AI603" s="25"/>
      <c r="AJ603" s="6"/>
      <c r="AK603" s="19"/>
      <c r="AL603" s="19"/>
      <c r="AM603" s="19"/>
    </row>
    <row r="604" spans="1:39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25"/>
      <c r="AE604" s="25"/>
      <c r="AF604" s="25"/>
      <c r="AG604" s="25"/>
      <c r="AH604" s="25"/>
      <c r="AI604" s="25"/>
      <c r="AJ604" s="6"/>
      <c r="AK604" s="19"/>
      <c r="AL604" s="19"/>
      <c r="AM604" s="19"/>
    </row>
    <row r="605" spans="1:39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25"/>
      <c r="AE605" s="25"/>
      <c r="AF605" s="25"/>
      <c r="AG605" s="25"/>
      <c r="AH605" s="25"/>
      <c r="AI605" s="25"/>
      <c r="AJ605" s="6"/>
      <c r="AK605" s="19"/>
      <c r="AL605" s="19"/>
      <c r="AM605" s="19"/>
    </row>
    <row r="606" spans="1:39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25"/>
      <c r="AE606" s="25"/>
      <c r="AF606" s="25"/>
      <c r="AG606" s="25"/>
      <c r="AH606" s="25"/>
      <c r="AI606" s="25"/>
      <c r="AJ606" s="6"/>
      <c r="AK606" s="19"/>
      <c r="AL606" s="19"/>
      <c r="AM606" s="19"/>
    </row>
    <row r="607" spans="1:39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25"/>
      <c r="AE607" s="25"/>
      <c r="AF607" s="25"/>
      <c r="AG607" s="25"/>
      <c r="AH607" s="25"/>
      <c r="AI607" s="25"/>
      <c r="AJ607" s="6"/>
      <c r="AK607" s="19"/>
      <c r="AL607" s="19"/>
      <c r="AM607" s="19"/>
    </row>
    <row r="608" spans="1:39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25"/>
      <c r="AE608" s="25"/>
      <c r="AF608" s="25"/>
      <c r="AG608" s="25"/>
      <c r="AH608" s="25"/>
      <c r="AI608" s="25"/>
      <c r="AJ608" s="6"/>
      <c r="AK608" s="19"/>
      <c r="AL608" s="19"/>
      <c r="AM608" s="19"/>
    </row>
    <row r="609" spans="1:3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25"/>
      <c r="AE609" s="25"/>
      <c r="AF609" s="25"/>
      <c r="AG609" s="25"/>
      <c r="AH609" s="25"/>
      <c r="AI609" s="25"/>
      <c r="AJ609" s="6"/>
      <c r="AK609" s="19"/>
      <c r="AL609" s="19"/>
      <c r="AM609" s="19"/>
    </row>
    <row r="610" spans="1:39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25"/>
      <c r="AE610" s="25"/>
      <c r="AF610" s="25"/>
      <c r="AG610" s="25"/>
      <c r="AH610" s="25"/>
      <c r="AI610" s="25"/>
      <c r="AJ610" s="6"/>
      <c r="AK610" s="19"/>
      <c r="AL610" s="19"/>
      <c r="AM610" s="19"/>
    </row>
    <row r="611" spans="1:39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25"/>
      <c r="AE611" s="25"/>
      <c r="AF611" s="25"/>
      <c r="AG611" s="25"/>
      <c r="AH611" s="25"/>
      <c r="AI611" s="25"/>
      <c r="AJ611" s="6"/>
      <c r="AK611" s="19"/>
      <c r="AL611" s="19"/>
      <c r="AM611" s="19"/>
    </row>
    <row r="612" spans="1:39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25"/>
      <c r="AE612" s="25"/>
      <c r="AF612" s="25"/>
      <c r="AG612" s="25"/>
      <c r="AH612" s="25"/>
      <c r="AI612" s="25"/>
      <c r="AJ612" s="6"/>
      <c r="AK612" s="19"/>
      <c r="AL612" s="19"/>
      <c r="AM612" s="19"/>
    </row>
    <row r="613" spans="1:39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25"/>
      <c r="AE613" s="25"/>
      <c r="AF613" s="25"/>
      <c r="AG613" s="25"/>
      <c r="AH613" s="25"/>
      <c r="AI613" s="25"/>
      <c r="AJ613" s="6"/>
      <c r="AK613" s="19"/>
      <c r="AL613" s="19"/>
      <c r="AM613" s="19"/>
    </row>
    <row r="614" spans="1:39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25"/>
      <c r="AE614" s="25"/>
      <c r="AF614" s="25"/>
      <c r="AG614" s="25"/>
      <c r="AH614" s="25"/>
      <c r="AI614" s="25"/>
      <c r="AJ614" s="6"/>
      <c r="AK614" s="19"/>
      <c r="AL614" s="19"/>
      <c r="AM614" s="19"/>
    </row>
    <row r="615" spans="1:39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25"/>
      <c r="AE615" s="25"/>
      <c r="AF615" s="25"/>
      <c r="AG615" s="25"/>
      <c r="AH615" s="25"/>
      <c r="AI615" s="25"/>
      <c r="AJ615" s="6"/>
      <c r="AK615" s="19"/>
      <c r="AL615" s="19"/>
      <c r="AM615" s="19"/>
    </row>
    <row r="616" spans="1:39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25"/>
      <c r="AE616" s="25"/>
      <c r="AF616" s="25"/>
      <c r="AG616" s="25"/>
      <c r="AH616" s="25"/>
      <c r="AI616" s="25"/>
      <c r="AJ616" s="6"/>
      <c r="AK616" s="19"/>
      <c r="AL616" s="19"/>
      <c r="AM616" s="19"/>
    </row>
    <row r="617" spans="1:39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25"/>
      <c r="AE617" s="25"/>
      <c r="AF617" s="25"/>
      <c r="AG617" s="25"/>
      <c r="AH617" s="25"/>
      <c r="AI617" s="25"/>
      <c r="AJ617" s="6"/>
      <c r="AK617" s="19"/>
      <c r="AL617" s="19"/>
      <c r="AM617" s="19"/>
    </row>
    <row r="618" spans="1:39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25"/>
      <c r="AE618" s="25"/>
      <c r="AF618" s="25"/>
      <c r="AG618" s="25"/>
      <c r="AH618" s="25"/>
      <c r="AI618" s="25"/>
      <c r="AJ618" s="6"/>
      <c r="AK618" s="19"/>
      <c r="AL618" s="19"/>
      <c r="AM618" s="19"/>
    </row>
    <row r="619" spans="1:3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25"/>
      <c r="AE619" s="25"/>
      <c r="AF619" s="25"/>
      <c r="AG619" s="25"/>
      <c r="AH619" s="25"/>
      <c r="AI619" s="25"/>
      <c r="AJ619" s="6"/>
      <c r="AK619" s="19"/>
      <c r="AL619" s="19"/>
      <c r="AM619" s="19"/>
    </row>
    <row r="620" spans="1:39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25"/>
      <c r="AE620" s="25"/>
      <c r="AF620" s="25"/>
      <c r="AG620" s="25"/>
      <c r="AH620" s="25"/>
      <c r="AI620" s="25"/>
      <c r="AJ620" s="6"/>
      <c r="AK620" s="19"/>
      <c r="AL620" s="19"/>
      <c r="AM620" s="19"/>
    </row>
    <row r="621" spans="1:39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25"/>
      <c r="AE621" s="25"/>
      <c r="AF621" s="25"/>
      <c r="AG621" s="25"/>
      <c r="AH621" s="25"/>
      <c r="AI621" s="25"/>
      <c r="AJ621" s="6"/>
      <c r="AK621" s="19"/>
      <c r="AL621" s="19"/>
      <c r="AM621" s="19"/>
    </row>
    <row r="622" spans="1:39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25"/>
      <c r="AE622" s="25"/>
      <c r="AF622" s="25"/>
      <c r="AG622" s="25"/>
      <c r="AH622" s="25"/>
      <c r="AI622" s="25"/>
      <c r="AJ622" s="6"/>
      <c r="AK622" s="19"/>
      <c r="AL622" s="19"/>
      <c r="AM622" s="19"/>
    </row>
    <row r="623" spans="1:39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25"/>
      <c r="AE623" s="25"/>
      <c r="AF623" s="25"/>
      <c r="AG623" s="25"/>
      <c r="AH623" s="25"/>
      <c r="AI623" s="25"/>
      <c r="AJ623" s="6"/>
      <c r="AK623" s="19"/>
      <c r="AL623" s="19"/>
      <c r="AM623" s="19"/>
    </row>
    <row r="624" spans="1:39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25"/>
      <c r="AE624" s="25"/>
      <c r="AF624" s="25"/>
      <c r="AG624" s="25"/>
      <c r="AH624" s="25"/>
      <c r="AI624" s="25"/>
      <c r="AJ624" s="6"/>
      <c r="AK624" s="19"/>
      <c r="AL624" s="19"/>
      <c r="AM624" s="19"/>
    </row>
    <row r="625" spans="1:39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25"/>
      <c r="AE625" s="25"/>
      <c r="AF625" s="25"/>
      <c r="AG625" s="25"/>
      <c r="AH625" s="25"/>
      <c r="AI625" s="25"/>
      <c r="AJ625" s="6"/>
      <c r="AK625" s="19"/>
      <c r="AL625" s="19"/>
      <c r="AM625" s="19"/>
    </row>
    <row r="626" spans="1:39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25"/>
      <c r="AE626" s="25"/>
      <c r="AF626" s="25"/>
      <c r="AG626" s="25"/>
      <c r="AH626" s="25"/>
      <c r="AI626" s="25"/>
      <c r="AJ626" s="6"/>
      <c r="AK626" s="19"/>
      <c r="AL626" s="19"/>
      <c r="AM626" s="19"/>
    </row>
    <row r="627" spans="1:39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25"/>
      <c r="AE627" s="25"/>
      <c r="AF627" s="25"/>
      <c r="AG627" s="25"/>
      <c r="AH627" s="25"/>
      <c r="AI627" s="25"/>
      <c r="AJ627" s="6"/>
      <c r="AK627" s="19"/>
      <c r="AL627" s="19"/>
      <c r="AM627" s="19"/>
    </row>
    <row r="628" spans="1:39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25"/>
      <c r="AE628" s="25"/>
      <c r="AF628" s="25"/>
      <c r="AG628" s="25"/>
      <c r="AH628" s="25"/>
      <c r="AI628" s="25"/>
      <c r="AJ628" s="6"/>
      <c r="AK628" s="19"/>
      <c r="AL628" s="19"/>
      <c r="AM628" s="19"/>
    </row>
    <row r="629" spans="1:3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25"/>
      <c r="AE629" s="25"/>
      <c r="AF629" s="25"/>
      <c r="AG629" s="25"/>
      <c r="AH629" s="25"/>
      <c r="AI629" s="25"/>
      <c r="AJ629" s="6"/>
      <c r="AK629" s="19"/>
      <c r="AL629" s="19"/>
      <c r="AM629" s="19"/>
    </row>
    <row r="630" spans="1:39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25"/>
      <c r="AE630" s="25"/>
      <c r="AF630" s="25"/>
      <c r="AG630" s="25"/>
      <c r="AH630" s="25"/>
      <c r="AI630" s="25"/>
      <c r="AJ630" s="6"/>
      <c r="AK630" s="19"/>
      <c r="AL630" s="19"/>
      <c r="AM630" s="19"/>
    </row>
    <row r="631" spans="1:39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25"/>
      <c r="AE631" s="25"/>
      <c r="AF631" s="25"/>
      <c r="AG631" s="25"/>
      <c r="AH631" s="25"/>
      <c r="AI631" s="25"/>
      <c r="AJ631" s="6"/>
      <c r="AK631" s="19"/>
      <c r="AL631" s="19"/>
      <c r="AM631" s="19"/>
    </row>
    <row r="632" spans="1:39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25"/>
      <c r="AE632" s="25"/>
      <c r="AF632" s="25"/>
      <c r="AG632" s="25"/>
      <c r="AH632" s="25"/>
      <c r="AI632" s="25"/>
      <c r="AJ632" s="6"/>
      <c r="AK632" s="19"/>
      <c r="AL632" s="19"/>
      <c r="AM632" s="19"/>
    </row>
    <row r="633" spans="1:39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25"/>
      <c r="AE633" s="25"/>
      <c r="AF633" s="25"/>
      <c r="AG633" s="25"/>
      <c r="AH633" s="25"/>
      <c r="AI633" s="25"/>
      <c r="AJ633" s="6"/>
      <c r="AK633" s="19"/>
      <c r="AL633" s="19"/>
      <c r="AM633" s="19"/>
    </row>
    <row r="634" spans="1:39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25"/>
      <c r="AE634" s="25"/>
      <c r="AF634" s="25"/>
      <c r="AG634" s="25"/>
      <c r="AH634" s="25"/>
      <c r="AI634" s="25"/>
      <c r="AJ634" s="6"/>
      <c r="AK634" s="19"/>
      <c r="AL634" s="19"/>
      <c r="AM634" s="19"/>
    </row>
    <row r="635" spans="1:39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25"/>
      <c r="AE635" s="25"/>
      <c r="AF635" s="25"/>
      <c r="AG635" s="25"/>
      <c r="AH635" s="25"/>
      <c r="AI635" s="25"/>
      <c r="AJ635" s="6"/>
      <c r="AK635" s="19"/>
      <c r="AL635" s="19"/>
      <c r="AM635" s="19"/>
    </row>
    <row r="636" spans="1:39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25"/>
      <c r="AE636" s="25"/>
      <c r="AF636" s="25"/>
      <c r="AG636" s="25"/>
      <c r="AH636" s="25"/>
      <c r="AI636" s="25"/>
      <c r="AJ636" s="6"/>
      <c r="AK636" s="19"/>
      <c r="AL636" s="19"/>
      <c r="AM636" s="19"/>
    </row>
    <row r="637" spans="1:39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25"/>
      <c r="AE637" s="25"/>
      <c r="AF637" s="25"/>
      <c r="AG637" s="25"/>
      <c r="AH637" s="25"/>
      <c r="AI637" s="25"/>
      <c r="AJ637" s="6"/>
      <c r="AK637" s="19"/>
      <c r="AL637" s="19"/>
      <c r="AM637" s="19"/>
    </row>
    <row r="638" spans="1:39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25"/>
      <c r="AE638" s="25"/>
      <c r="AF638" s="25"/>
      <c r="AG638" s="25"/>
      <c r="AH638" s="25"/>
      <c r="AI638" s="25"/>
      <c r="AJ638" s="6"/>
      <c r="AK638" s="19"/>
      <c r="AL638" s="19"/>
      <c r="AM638" s="19"/>
    </row>
    <row r="639" spans="1: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25"/>
      <c r="AE639" s="25"/>
      <c r="AF639" s="25"/>
      <c r="AG639" s="25"/>
      <c r="AH639" s="25"/>
      <c r="AI639" s="25"/>
      <c r="AJ639" s="6"/>
      <c r="AK639" s="19"/>
      <c r="AL639" s="19"/>
      <c r="AM639" s="19"/>
    </row>
    <row r="640" spans="1:39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25"/>
      <c r="AE640" s="25"/>
      <c r="AF640" s="25"/>
      <c r="AG640" s="25"/>
      <c r="AH640" s="25"/>
      <c r="AI640" s="25"/>
      <c r="AJ640" s="6"/>
      <c r="AK640" s="19"/>
      <c r="AL640" s="19"/>
      <c r="AM640" s="19"/>
    </row>
    <row r="641" spans="1:39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25"/>
      <c r="AE641" s="25"/>
      <c r="AF641" s="25"/>
      <c r="AG641" s="25"/>
      <c r="AH641" s="25"/>
      <c r="AI641" s="25"/>
      <c r="AJ641" s="6"/>
      <c r="AK641" s="19"/>
      <c r="AL641" s="19"/>
      <c r="AM641" s="19"/>
    </row>
    <row r="642" spans="1:39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25"/>
      <c r="AE642" s="25"/>
      <c r="AF642" s="25"/>
      <c r="AG642" s="25"/>
      <c r="AH642" s="25"/>
      <c r="AI642" s="25"/>
      <c r="AJ642" s="6"/>
      <c r="AK642" s="19"/>
      <c r="AL642" s="19"/>
      <c r="AM642" s="19"/>
    </row>
    <row r="643" spans="1:39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25"/>
      <c r="AE643" s="25"/>
      <c r="AF643" s="25"/>
      <c r="AG643" s="25"/>
      <c r="AH643" s="25"/>
      <c r="AI643" s="25"/>
      <c r="AJ643" s="6"/>
      <c r="AK643" s="19"/>
      <c r="AL643" s="19"/>
      <c r="AM643" s="19"/>
    </row>
    <row r="644" spans="1:39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25"/>
      <c r="AE644" s="25"/>
      <c r="AF644" s="25"/>
      <c r="AG644" s="25"/>
      <c r="AH644" s="25"/>
      <c r="AI644" s="25"/>
      <c r="AJ644" s="6"/>
      <c r="AK644" s="19"/>
      <c r="AL644" s="19"/>
      <c r="AM644" s="19"/>
    </row>
    <row r="645" spans="1:39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25"/>
      <c r="AE645" s="25"/>
      <c r="AF645" s="25"/>
      <c r="AG645" s="25"/>
      <c r="AH645" s="25"/>
      <c r="AI645" s="25"/>
      <c r="AJ645" s="6"/>
      <c r="AK645" s="19"/>
      <c r="AL645" s="19"/>
      <c r="AM645" s="19"/>
    </row>
    <row r="646" spans="1:39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25"/>
      <c r="AE646" s="25"/>
      <c r="AF646" s="25"/>
      <c r="AG646" s="25"/>
      <c r="AH646" s="25"/>
      <c r="AI646" s="25"/>
      <c r="AJ646" s="6"/>
      <c r="AK646" s="19"/>
      <c r="AL646" s="19"/>
      <c r="AM646" s="19"/>
    </row>
    <row r="647" spans="1:39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25"/>
      <c r="AE647" s="25"/>
      <c r="AF647" s="25"/>
      <c r="AG647" s="25"/>
      <c r="AH647" s="25"/>
      <c r="AI647" s="25"/>
      <c r="AJ647" s="6"/>
      <c r="AK647" s="19"/>
      <c r="AL647" s="19"/>
      <c r="AM647" s="19"/>
    </row>
    <row r="648" spans="1:39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25"/>
      <c r="AE648" s="25"/>
      <c r="AF648" s="25"/>
      <c r="AG648" s="25"/>
      <c r="AH648" s="25"/>
      <c r="AI648" s="25"/>
      <c r="AJ648" s="6"/>
      <c r="AK648" s="19"/>
      <c r="AL648" s="19"/>
      <c r="AM648" s="19"/>
    </row>
    <row r="649" spans="1:3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25"/>
      <c r="AE649" s="25"/>
      <c r="AF649" s="25"/>
      <c r="AG649" s="25"/>
      <c r="AH649" s="25"/>
      <c r="AI649" s="25"/>
      <c r="AJ649" s="6"/>
      <c r="AK649" s="19"/>
      <c r="AL649" s="19"/>
      <c r="AM649" s="19"/>
    </row>
    <row r="650" spans="1:39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25"/>
      <c r="AE650" s="25"/>
      <c r="AF650" s="25"/>
      <c r="AG650" s="25"/>
      <c r="AH650" s="25"/>
      <c r="AI650" s="25"/>
      <c r="AJ650" s="6"/>
      <c r="AK650" s="19"/>
      <c r="AL650" s="19"/>
      <c r="AM650" s="19"/>
    </row>
    <row r="651" spans="1:39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25"/>
      <c r="AE651" s="25"/>
      <c r="AF651" s="25"/>
      <c r="AG651" s="25"/>
      <c r="AH651" s="25"/>
      <c r="AI651" s="25"/>
      <c r="AJ651" s="6"/>
      <c r="AK651" s="19"/>
      <c r="AL651" s="19"/>
      <c r="AM651" s="19"/>
    </row>
    <row r="652" spans="1:39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25"/>
      <c r="AE652" s="25"/>
      <c r="AF652" s="25"/>
      <c r="AG652" s="25"/>
      <c r="AH652" s="25"/>
      <c r="AI652" s="25"/>
      <c r="AJ652" s="6"/>
      <c r="AK652" s="19"/>
      <c r="AL652" s="19"/>
      <c r="AM652" s="19"/>
    </row>
    <row r="653" spans="1:39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25"/>
      <c r="AE653" s="25"/>
      <c r="AF653" s="25"/>
      <c r="AG653" s="25"/>
      <c r="AH653" s="25"/>
      <c r="AI653" s="25"/>
      <c r="AJ653" s="6"/>
      <c r="AK653" s="19"/>
      <c r="AL653" s="19"/>
      <c r="AM653" s="19"/>
    </row>
    <row r="654" spans="1:39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25"/>
      <c r="AE654" s="25"/>
      <c r="AF654" s="25"/>
      <c r="AG654" s="25"/>
      <c r="AH654" s="25"/>
      <c r="AI654" s="25"/>
      <c r="AJ654" s="6"/>
      <c r="AK654" s="19"/>
      <c r="AL654" s="19"/>
      <c r="AM654" s="19"/>
    </row>
    <row r="655" spans="1:39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25"/>
      <c r="AE655" s="25"/>
      <c r="AF655" s="25"/>
      <c r="AG655" s="25"/>
      <c r="AH655" s="25"/>
      <c r="AI655" s="25"/>
      <c r="AJ655" s="6"/>
      <c r="AK655" s="19"/>
      <c r="AL655" s="19"/>
      <c r="AM655" s="19"/>
    </row>
    <row r="656" spans="1:39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25"/>
      <c r="AE656" s="25"/>
      <c r="AF656" s="25"/>
      <c r="AG656" s="25"/>
      <c r="AH656" s="25"/>
      <c r="AI656" s="25"/>
      <c r="AJ656" s="6"/>
      <c r="AK656" s="19"/>
      <c r="AL656" s="19"/>
      <c r="AM656" s="19"/>
    </row>
    <row r="657" spans="1:39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25"/>
      <c r="AE657" s="25"/>
      <c r="AF657" s="25"/>
      <c r="AG657" s="25"/>
      <c r="AH657" s="25"/>
      <c r="AI657" s="25"/>
      <c r="AJ657" s="6"/>
      <c r="AK657" s="19"/>
      <c r="AL657" s="19"/>
      <c r="AM657" s="19"/>
    </row>
    <row r="658" spans="1:39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25"/>
      <c r="AE658" s="25"/>
      <c r="AF658" s="25"/>
      <c r="AG658" s="25"/>
      <c r="AH658" s="25"/>
      <c r="AI658" s="25"/>
      <c r="AJ658" s="6"/>
      <c r="AK658" s="19"/>
      <c r="AL658" s="19"/>
      <c r="AM658" s="19"/>
    </row>
    <row r="659" spans="1:3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25"/>
      <c r="AE659" s="25"/>
      <c r="AF659" s="25"/>
      <c r="AG659" s="25"/>
      <c r="AH659" s="25"/>
      <c r="AI659" s="25"/>
      <c r="AJ659" s="6"/>
      <c r="AK659" s="19"/>
      <c r="AL659" s="19"/>
      <c r="AM659" s="19"/>
    </row>
    <row r="660" spans="1:39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25"/>
      <c r="AE660" s="25"/>
      <c r="AF660" s="25"/>
      <c r="AG660" s="25"/>
      <c r="AH660" s="25"/>
      <c r="AI660" s="25"/>
      <c r="AJ660" s="6"/>
      <c r="AK660" s="19"/>
      <c r="AL660" s="19"/>
      <c r="AM660" s="19"/>
    </row>
    <row r="661" spans="1:39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25"/>
      <c r="AE661" s="25"/>
      <c r="AF661" s="25"/>
      <c r="AG661" s="25"/>
      <c r="AH661" s="25"/>
      <c r="AI661" s="25"/>
      <c r="AJ661" s="6"/>
      <c r="AK661" s="19"/>
      <c r="AL661" s="19"/>
      <c r="AM661" s="19"/>
    </row>
    <row r="662" spans="1:39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25"/>
      <c r="AE662" s="25"/>
      <c r="AF662" s="25"/>
      <c r="AG662" s="25"/>
      <c r="AH662" s="25"/>
      <c r="AI662" s="25"/>
      <c r="AJ662" s="6"/>
      <c r="AK662" s="19"/>
      <c r="AL662" s="19"/>
      <c r="AM662" s="19"/>
    </row>
    <row r="663" spans="1:39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25"/>
      <c r="AE663" s="25"/>
      <c r="AF663" s="25"/>
      <c r="AG663" s="25"/>
      <c r="AH663" s="25"/>
      <c r="AI663" s="25"/>
      <c r="AJ663" s="6"/>
      <c r="AK663" s="19"/>
      <c r="AL663" s="19"/>
      <c r="AM663" s="19"/>
    </row>
    <row r="664" spans="1:39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25"/>
      <c r="AE664" s="25"/>
      <c r="AF664" s="25"/>
      <c r="AG664" s="25"/>
      <c r="AH664" s="25"/>
      <c r="AI664" s="25"/>
      <c r="AJ664" s="6"/>
      <c r="AK664" s="19"/>
      <c r="AL664" s="19"/>
      <c r="AM664" s="19"/>
    </row>
    <row r="665" spans="1:39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25"/>
      <c r="AE665" s="25"/>
      <c r="AF665" s="25"/>
      <c r="AG665" s="25"/>
      <c r="AH665" s="25"/>
      <c r="AI665" s="25"/>
      <c r="AJ665" s="6"/>
      <c r="AK665" s="19"/>
      <c r="AL665" s="19"/>
      <c r="AM665" s="19"/>
    </row>
    <row r="666" spans="1:39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25"/>
      <c r="AE666" s="25"/>
      <c r="AF666" s="25"/>
      <c r="AG666" s="25"/>
      <c r="AH666" s="25"/>
      <c r="AI666" s="25"/>
      <c r="AJ666" s="6"/>
      <c r="AK666" s="19"/>
      <c r="AL666" s="19"/>
      <c r="AM666" s="19"/>
    </row>
    <row r="667" spans="1:39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25"/>
      <c r="AE667" s="25"/>
      <c r="AF667" s="25"/>
      <c r="AG667" s="25"/>
      <c r="AH667" s="25"/>
      <c r="AI667" s="25"/>
      <c r="AJ667" s="6"/>
      <c r="AK667" s="19"/>
      <c r="AL667" s="19"/>
      <c r="AM667" s="19"/>
    </row>
    <row r="668" spans="1:39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25"/>
      <c r="AE668" s="25"/>
      <c r="AF668" s="25"/>
      <c r="AG668" s="25"/>
      <c r="AH668" s="25"/>
      <c r="AI668" s="25"/>
      <c r="AJ668" s="6"/>
      <c r="AK668" s="19"/>
      <c r="AL668" s="19"/>
      <c r="AM668" s="19"/>
    </row>
    <row r="669" spans="1:3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25"/>
      <c r="AE669" s="25"/>
      <c r="AF669" s="25"/>
      <c r="AG669" s="25"/>
      <c r="AH669" s="25"/>
      <c r="AI669" s="25"/>
      <c r="AJ669" s="6"/>
      <c r="AK669" s="19"/>
      <c r="AL669" s="19"/>
      <c r="AM669" s="19"/>
    </row>
    <row r="670" spans="1:39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25"/>
      <c r="AE670" s="25"/>
      <c r="AF670" s="25"/>
      <c r="AG670" s="25"/>
      <c r="AH670" s="25"/>
      <c r="AI670" s="25"/>
      <c r="AJ670" s="6"/>
      <c r="AK670" s="19"/>
      <c r="AL670" s="19"/>
      <c r="AM670" s="19"/>
    </row>
    <row r="671" spans="1:39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25"/>
      <c r="AE671" s="25"/>
      <c r="AF671" s="25"/>
      <c r="AG671" s="25"/>
      <c r="AH671" s="25"/>
      <c r="AI671" s="25"/>
      <c r="AJ671" s="6"/>
      <c r="AK671" s="19"/>
      <c r="AL671" s="19"/>
      <c r="AM671" s="19"/>
    </row>
    <row r="672" spans="1:39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25"/>
      <c r="AE672" s="25"/>
      <c r="AF672" s="25"/>
      <c r="AG672" s="25"/>
      <c r="AH672" s="25"/>
      <c r="AI672" s="25"/>
      <c r="AJ672" s="6"/>
      <c r="AK672" s="19"/>
      <c r="AL672" s="19"/>
      <c r="AM672" s="19"/>
    </row>
    <row r="673" spans="1:39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25"/>
      <c r="AE673" s="25"/>
      <c r="AF673" s="25"/>
      <c r="AG673" s="25"/>
      <c r="AH673" s="25"/>
      <c r="AI673" s="25"/>
      <c r="AJ673" s="6"/>
      <c r="AK673" s="19"/>
      <c r="AL673" s="19"/>
      <c r="AM673" s="19"/>
    </row>
    <row r="674" spans="1:39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25"/>
      <c r="AE674" s="25"/>
      <c r="AF674" s="25"/>
      <c r="AG674" s="25"/>
      <c r="AH674" s="25"/>
      <c r="AI674" s="25"/>
      <c r="AJ674" s="6"/>
      <c r="AK674" s="19"/>
      <c r="AL674" s="19"/>
      <c r="AM674" s="19"/>
    </row>
    <row r="675" spans="1:39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25"/>
      <c r="AE675" s="25"/>
      <c r="AF675" s="25"/>
      <c r="AG675" s="25"/>
      <c r="AH675" s="25"/>
      <c r="AI675" s="25"/>
      <c r="AJ675" s="6"/>
      <c r="AK675" s="19"/>
      <c r="AL675" s="19"/>
      <c r="AM675" s="19"/>
    </row>
    <row r="676" spans="1:39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25"/>
      <c r="AE676" s="25"/>
      <c r="AF676" s="25"/>
      <c r="AG676" s="25"/>
      <c r="AH676" s="25"/>
      <c r="AI676" s="25"/>
      <c r="AJ676" s="6"/>
      <c r="AK676" s="19"/>
      <c r="AL676" s="19"/>
      <c r="AM676" s="19"/>
    </row>
    <row r="677" spans="1:39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25"/>
      <c r="AE677" s="25"/>
      <c r="AF677" s="25"/>
      <c r="AG677" s="25"/>
      <c r="AH677" s="25"/>
      <c r="AI677" s="25"/>
      <c r="AJ677" s="6"/>
      <c r="AK677" s="19"/>
      <c r="AL677" s="19"/>
      <c r="AM677" s="19"/>
    </row>
    <row r="678" spans="1:39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25"/>
      <c r="AE678" s="25"/>
      <c r="AF678" s="25"/>
      <c r="AG678" s="25"/>
      <c r="AH678" s="25"/>
      <c r="AI678" s="25"/>
      <c r="AJ678" s="6"/>
      <c r="AK678" s="19"/>
      <c r="AL678" s="19"/>
      <c r="AM678" s="19"/>
    </row>
    <row r="679" spans="1:3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25"/>
      <c r="AE679" s="25"/>
      <c r="AF679" s="25"/>
      <c r="AG679" s="25"/>
      <c r="AH679" s="25"/>
      <c r="AI679" s="25"/>
      <c r="AJ679" s="6"/>
      <c r="AK679" s="19"/>
      <c r="AL679" s="19"/>
      <c r="AM679" s="19"/>
    </row>
    <row r="680" spans="1:39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25"/>
      <c r="AE680" s="25"/>
      <c r="AF680" s="25"/>
      <c r="AG680" s="25"/>
      <c r="AH680" s="25"/>
      <c r="AI680" s="25"/>
      <c r="AJ680" s="6"/>
      <c r="AK680" s="19"/>
      <c r="AL680" s="19"/>
      <c r="AM680" s="19"/>
    </row>
    <row r="681" spans="1:39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25"/>
      <c r="AE681" s="25"/>
      <c r="AF681" s="25"/>
      <c r="AG681" s="25"/>
      <c r="AH681" s="25"/>
      <c r="AI681" s="25"/>
      <c r="AJ681" s="6"/>
      <c r="AK681" s="19"/>
      <c r="AL681" s="19"/>
      <c r="AM681" s="19"/>
    </row>
    <row r="682" spans="1:39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25"/>
      <c r="AE682" s="25"/>
      <c r="AF682" s="25"/>
      <c r="AG682" s="25"/>
      <c r="AH682" s="25"/>
      <c r="AI682" s="25"/>
      <c r="AJ682" s="6"/>
      <c r="AK682" s="19"/>
      <c r="AL682" s="19"/>
      <c r="AM682" s="19"/>
    </row>
    <row r="683" spans="1:39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25"/>
      <c r="AE683" s="25"/>
      <c r="AF683" s="25"/>
      <c r="AG683" s="25"/>
      <c r="AH683" s="25"/>
      <c r="AI683" s="25"/>
      <c r="AJ683" s="6"/>
      <c r="AK683" s="19"/>
      <c r="AL683" s="19"/>
      <c r="AM683" s="19"/>
    </row>
    <row r="684" spans="1:39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25"/>
      <c r="AE684" s="25"/>
      <c r="AF684" s="25"/>
      <c r="AG684" s="25"/>
      <c r="AH684" s="25"/>
      <c r="AI684" s="25"/>
      <c r="AJ684" s="6"/>
      <c r="AK684" s="19"/>
      <c r="AL684" s="19"/>
      <c r="AM684" s="19"/>
    </row>
    <row r="685" spans="1:39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25"/>
      <c r="AE685" s="25"/>
      <c r="AF685" s="25"/>
      <c r="AG685" s="25"/>
      <c r="AH685" s="25"/>
      <c r="AI685" s="25"/>
      <c r="AJ685" s="6"/>
      <c r="AK685" s="19"/>
      <c r="AL685" s="19"/>
      <c r="AM685" s="19"/>
    </row>
    <row r="686" spans="1:39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25"/>
      <c r="AE686" s="25"/>
      <c r="AF686" s="25"/>
      <c r="AG686" s="25"/>
      <c r="AH686" s="25"/>
      <c r="AI686" s="25"/>
      <c r="AJ686" s="6"/>
      <c r="AK686" s="19"/>
      <c r="AL686" s="19"/>
      <c r="AM686" s="19"/>
    </row>
    <row r="687" spans="1:39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25"/>
      <c r="AE687" s="25"/>
      <c r="AF687" s="25"/>
      <c r="AG687" s="25"/>
      <c r="AH687" s="25"/>
      <c r="AI687" s="25"/>
      <c r="AJ687" s="6"/>
      <c r="AK687" s="19"/>
      <c r="AL687" s="19"/>
      <c r="AM687" s="19"/>
    </row>
    <row r="688" spans="1:39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25"/>
      <c r="AE688" s="25"/>
      <c r="AF688" s="25"/>
      <c r="AG688" s="25"/>
      <c r="AH688" s="25"/>
      <c r="AI688" s="25"/>
      <c r="AJ688" s="6"/>
      <c r="AK688" s="19"/>
      <c r="AL688" s="19"/>
      <c r="AM688" s="19"/>
    </row>
    <row r="689" spans="1:3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25"/>
      <c r="AE689" s="25"/>
      <c r="AF689" s="25"/>
      <c r="AG689" s="25"/>
      <c r="AH689" s="25"/>
      <c r="AI689" s="25"/>
      <c r="AJ689" s="6"/>
      <c r="AK689" s="19"/>
      <c r="AL689" s="19"/>
      <c r="AM689" s="19"/>
    </row>
    <row r="690" spans="1:39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25"/>
      <c r="AE690" s="25"/>
      <c r="AF690" s="25"/>
      <c r="AG690" s="25"/>
      <c r="AH690" s="25"/>
      <c r="AI690" s="25"/>
      <c r="AJ690" s="6"/>
      <c r="AK690" s="19"/>
      <c r="AL690" s="19"/>
      <c r="AM690" s="19"/>
    </row>
    <row r="691" spans="1:39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25"/>
      <c r="AE691" s="25"/>
      <c r="AF691" s="25"/>
      <c r="AG691" s="25"/>
      <c r="AH691" s="25"/>
      <c r="AI691" s="25"/>
      <c r="AJ691" s="6"/>
      <c r="AK691" s="19"/>
      <c r="AL691" s="19"/>
      <c r="AM691" s="19"/>
    </row>
    <row r="692" spans="1:39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25"/>
      <c r="AE692" s="25"/>
      <c r="AF692" s="25"/>
      <c r="AG692" s="25"/>
      <c r="AH692" s="25"/>
      <c r="AI692" s="25"/>
      <c r="AJ692" s="6"/>
      <c r="AK692" s="19"/>
      <c r="AL692" s="19"/>
      <c r="AM692" s="19"/>
    </row>
    <row r="693" spans="1:39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25"/>
      <c r="AE693" s="25"/>
      <c r="AF693" s="25"/>
      <c r="AG693" s="25"/>
      <c r="AH693" s="25"/>
      <c r="AI693" s="25"/>
      <c r="AJ693" s="6"/>
      <c r="AK693" s="19"/>
      <c r="AL693" s="19"/>
      <c r="AM693" s="19"/>
    </row>
    <row r="694" spans="1:39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25"/>
      <c r="AE694" s="25"/>
      <c r="AF694" s="25"/>
      <c r="AG694" s="25"/>
      <c r="AH694" s="25"/>
      <c r="AI694" s="25"/>
      <c r="AJ694" s="6"/>
      <c r="AK694" s="19"/>
      <c r="AL694" s="19"/>
      <c r="AM694" s="19"/>
    </row>
    <row r="695" spans="1:39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25"/>
      <c r="AE695" s="25"/>
      <c r="AF695" s="25"/>
      <c r="AG695" s="25"/>
      <c r="AH695" s="25"/>
      <c r="AI695" s="25"/>
      <c r="AJ695" s="6"/>
      <c r="AK695" s="19"/>
      <c r="AL695" s="19"/>
      <c r="AM695" s="19"/>
    </row>
    <row r="696" spans="1:39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25"/>
      <c r="AE696" s="25"/>
      <c r="AF696" s="25"/>
      <c r="AG696" s="25"/>
      <c r="AH696" s="25"/>
      <c r="AI696" s="25"/>
      <c r="AJ696" s="6"/>
      <c r="AK696" s="19"/>
      <c r="AL696" s="19"/>
      <c r="AM696" s="19"/>
    </row>
    <row r="697" spans="1:39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25"/>
      <c r="AE697" s="25"/>
      <c r="AF697" s="25"/>
      <c r="AG697" s="25"/>
      <c r="AH697" s="25"/>
      <c r="AI697" s="25"/>
      <c r="AJ697" s="6"/>
      <c r="AK697" s="19"/>
      <c r="AL697" s="19"/>
      <c r="AM697" s="19"/>
    </row>
    <row r="698" spans="1:39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25"/>
      <c r="AE698" s="25"/>
      <c r="AF698" s="25"/>
      <c r="AG698" s="25"/>
      <c r="AH698" s="25"/>
      <c r="AI698" s="25"/>
      <c r="AJ698" s="6"/>
      <c r="AK698" s="19"/>
      <c r="AL698" s="19"/>
      <c r="AM698" s="19"/>
    </row>
    <row r="699" spans="1:3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25"/>
      <c r="AE699" s="25"/>
      <c r="AF699" s="25"/>
      <c r="AG699" s="25"/>
      <c r="AH699" s="25"/>
      <c r="AI699" s="25"/>
      <c r="AJ699" s="6"/>
      <c r="AK699" s="19"/>
      <c r="AL699" s="19"/>
      <c r="AM699" s="19"/>
    </row>
    <row r="700" spans="1:39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25"/>
      <c r="AE700" s="25"/>
      <c r="AF700" s="25"/>
      <c r="AG700" s="25"/>
      <c r="AH700" s="25"/>
      <c r="AI700" s="25"/>
      <c r="AJ700" s="6"/>
      <c r="AK700" s="19"/>
      <c r="AL700" s="19"/>
      <c r="AM700" s="19"/>
    </row>
    <row r="701" spans="1:39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25"/>
      <c r="AE701" s="25"/>
      <c r="AF701" s="25"/>
      <c r="AG701" s="25"/>
      <c r="AH701" s="25"/>
      <c r="AI701" s="25"/>
      <c r="AJ701" s="6"/>
      <c r="AK701" s="19"/>
      <c r="AL701" s="19"/>
      <c r="AM701" s="19"/>
    </row>
    <row r="702" spans="1:39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25"/>
      <c r="AE702" s="25"/>
      <c r="AF702" s="25"/>
      <c r="AG702" s="25"/>
      <c r="AH702" s="25"/>
      <c r="AI702" s="25"/>
      <c r="AJ702" s="6"/>
      <c r="AK702" s="19"/>
      <c r="AL702" s="19"/>
      <c r="AM702" s="19"/>
    </row>
    <row r="703" spans="1:39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25"/>
      <c r="AE703" s="25"/>
      <c r="AF703" s="25"/>
      <c r="AG703" s="25"/>
      <c r="AH703" s="25"/>
      <c r="AI703" s="25"/>
      <c r="AJ703" s="6"/>
      <c r="AK703" s="19"/>
      <c r="AL703" s="19"/>
      <c r="AM703" s="19"/>
    </row>
    <row r="704" spans="1:39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25"/>
      <c r="AE704" s="25"/>
      <c r="AF704" s="25"/>
      <c r="AG704" s="25"/>
      <c r="AH704" s="25"/>
      <c r="AI704" s="25"/>
      <c r="AJ704" s="6"/>
      <c r="AK704" s="19"/>
      <c r="AL704" s="19"/>
      <c r="AM704" s="19"/>
    </row>
    <row r="705" spans="1:39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25"/>
      <c r="AE705" s="25"/>
      <c r="AF705" s="25"/>
      <c r="AG705" s="25"/>
      <c r="AH705" s="25"/>
      <c r="AI705" s="25"/>
      <c r="AJ705" s="6"/>
      <c r="AK705" s="19"/>
      <c r="AL705" s="19"/>
      <c r="AM705" s="19"/>
    </row>
    <row r="706" spans="1:39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25"/>
      <c r="AE706" s="25"/>
      <c r="AF706" s="25"/>
      <c r="AG706" s="25"/>
      <c r="AH706" s="25"/>
      <c r="AI706" s="25"/>
      <c r="AJ706" s="6"/>
      <c r="AK706" s="19"/>
      <c r="AL706" s="19"/>
      <c r="AM706" s="19"/>
    </row>
    <row r="707" spans="1:39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25"/>
      <c r="AE707" s="25"/>
      <c r="AF707" s="25"/>
      <c r="AG707" s="25"/>
      <c r="AH707" s="25"/>
      <c r="AI707" s="25"/>
      <c r="AJ707" s="6"/>
      <c r="AK707" s="19"/>
      <c r="AL707" s="19"/>
      <c r="AM707" s="19"/>
    </row>
    <row r="708" spans="1:39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25"/>
      <c r="AE708" s="25"/>
      <c r="AF708" s="25"/>
      <c r="AG708" s="25"/>
      <c r="AH708" s="25"/>
      <c r="AI708" s="25"/>
      <c r="AJ708" s="6"/>
      <c r="AK708" s="19"/>
      <c r="AL708" s="19"/>
      <c r="AM708" s="19"/>
    </row>
    <row r="709" spans="1:3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25"/>
      <c r="AE709" s="25"/>
      <c r="AF709" s="25"/>
      <c r="AG709" s="25"/>
      <c r="AH709" s="25"/>
      <c r="AI709" s="25"/>
      <c r="AJ709" s="6"/>
      <c r="AK709" s="19"/>
      <c r="AL709" s="19"/>
      <c r="AM709" s="19"/>
    </row>
    <row r="710" spans="1:39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25"/>
      <c r="AE710" s="25"/>
      <c r="AF710" s="25"/>
      <c r="AG710" s="25"/>
      <c r="AH710" s="25"/>
      <c r="AI710" s="25"/>
      <c r="AJ710" s="6"/>
      <c r="AK710" s="19"/>
      <c r="AL710" s="19"/>
      <c r="AM710" s="19"/>
    </row>
    <row r="711" spans="1:39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25"/>
      <c r="AE711" s="25"/>
      <c r="AF711" s="25"/>
      <c r="AG711" s="25"/>
      <c r="AH711" s="25"/>
      <c r="AI711" s="25"/>
      <c r="AJ711" s="6"/>
      <c r="AK711" s="19"/>
      <c r="AL711" s="19"/>
      <c r="AM711" s="19"/>
    </row>
    <row r="712" spans="1:39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25"/>
      <c r="AE712" s="25"/>
      <c r="AF712" s="25"/>
      <c r="AG712" s="25"/>
      <c r="AH712" s="25"/>
      <c r="AI712" s="25"/>
      <c r="AJ712" s="6"/>
      <c r="AK712" s="19"/>
      <c r="AL712" s="19"/>
      <c r="AM712" s="19"/>
    </row>
    <row r="713" spans="1:39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25"/>
      <c r="AE713" s="25"/>
      <c r="AF713" s="25"/>
      <c r="AG713" s="25"/>
      <c r="AH713" s="25"/>
      <c r="AI713" s="25"/>
      <c r="AJ713" s="6"/>
      <c r="AK713" s="19"/>
      <c r="AL713" s="19"/>
      <c r="AM713" s="19"/>
    </row>
    <row r="714" spans="1:39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25"/>
      <c r="AE714" s="25"/>
      <c r="AF714" s="25"/>
      <c r="AG714" s="25"/>
      <c r="AH714" s="25"/>
      <c r="AI714" s="25"/>
      <c r="AJ714" s="6"/>
      <c r="AK714" s="19"/>
      <c r="AL714" s="19"/>
      <c r="AM714" s="19"/>
    </row>
    <row r="715" spans="1:39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25"/>
      <c r="AE715" s="25"/>
      <c r="AF715" s="25"/>
      <c r="AG715" s="25"/>
      <c r="AH715" s="25"/>
      <c r="AI715" s="25"/>
      <c r="AJ715" s="6"/>
      <c r="AK715" s="19"/>
      <c r="AL715" s="19"/>
      <c r="AM715" s="19"/>
    </row>
    <row r="716" spans="1:39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25"/>
      <c r="AE716" s="25"/>
      <c r="AF716" s="25"/>
      <c r="AG716" s="25"/>
      <c r="AH716" s="25"/>
      <c r="AI716" s="25"/>
      <c r="AJ716" s="6"/>
      <c r="AK716" s="19"/>
      <c r="AL716" s="19"/>
      <c r="AM716" s="19"/>
    </row>
    <row r="717" spans="1:39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25"/>
      <c r="AE717" s="25"/>
      <c r="AF717" s="25"/>
      <c r="AG717" s="25"/>
      <c r="AH717" s="25"/>
      <c r="AI717" s="25"/>
      <c r="AJ717" s="6"/>
      <c r="AK717" s="19"/>
      <c r="AL717" s="19"/>
      <c r="AM717" s="19"/>
    </row>
    <row r="718" spans="1:39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25"/>
      <c r="AE718" s="25"/>
      <c r="AF718" s="25"/>
      <c r="AG718" s="25"/>
      <c r="AH718" s="25"/>
      <c r="AI718" s="25"/>
      <c r="AJ718" s="6"/>
      <c r="AK718" s="19"/>
      <c r="AL718" s="19"/>
      <c r="AM718" s="19"/>
    </row>
    <row r="719" spans="1:3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25"/>
      <c r="AE719" s="25"/>
      <c r="AF719" s="25"/>
      <c r="AG719" s="25"/>
      <c r="AH719" s="25"/>
      <c r="AI719" s="25"/>
      <c r="AJ719" s="6"/>
      <c r="AK719" s="19"/>
      <c r="AL719" s="19"/>
      <c r="AM719" s="19"/>
    </row>
    <row r="720" spans="1:39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25"/>
      <c r="AE720" s="25"/>
      <c r="AF720" s="25"/>
      <c r="AG720" s="25"/>
      <c r="AH720" s="25"/>
      <c r="AI720" s="25"/>
      <c r="AJ720" s="6"/>
      <c r="AK720" s="19"/>
      <c r="AL720" s="19"/>
      <c r="AM720" s="19"/>
    </row>
    <row r="721" spans="1:39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25"/>
      <c r="AE721" s="25"/>
      <c r="AF721" s="25"/>
      <c r="AG721" s="25"/>
      <c r="AH721" s="25"/>
      <c r="AI721" s="25"/>
      <c r="AJ721" s="6"/>
      <c r="AK721" s="19"/>
      <c r="AL721" s="19"/>
      <c r="AM721" s="19"/>
    </row>
    <row r="722" spans="1:39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25"/>
      <c r="AE722" s="25"/>
      <c r="AF722" s="25"/>
      <c r="AG722" s="25"/>
      <c r="AH722" s="25"/>
      <c r="AI722" s="25"/>
      <c r="AJ722" s="6"/>
      <c r="AK722" s="19"/>
      <c r="AL722" s="19"/>
      <c r="AM722" s="19"/>
    </row>
    <row r="723" spans="1:39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25"/>
      <c r="AE723" s="25"/>
      <c r="AF723" s="25"/>
      <c r="AG723" s="25"/>
      <c r="AH723" s="25"/>
      <c r="AI723" s="25"/>
      <c r="AJ723" s="6"/>
      <c r="AK723" s="19"/>
      <c r="AL723" s="19"/>
      <c r="AM723" s="19"/>
    </row>
    <row r="724" spans="1:39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25"/>
      <c r="AE724" s="25"/>
      <c r="AF724" s="25"/>
      <c r="AG724" s="25"/>
      <c r="AH724" s="25"/>
      <c r="AI724" s="25"/>
      <c r="AJ724" s="6"/>
      <c r="AK724" s="19"/>
      <c r="AL724" s="19"/>
      <c r="AM724" s="19"/>
    </row>
    <row r="725" spans="1:39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25"/>
      <c r="AE725" s="25"/>
      <c r="AF725" s="25"/>
      <c r="AG725" s="25"/>
      <c r="AH725" s="25"/>
      <c r="AI725" s="25"/>
      <c r="AJ725" s="6"/>
      <c r="AK725" s="19"/>
      <c r="AL725" s="19"/>
      <c r="AM725" s="19"/>
    </row>
    <row r="726" spans="1:39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25"/>
      <c r="AE726" s="25"/>
      <c r="AF726" s="25"/>
      <c r="AG726" s="25"/>
      <c r="AH726" s="25"/>
      <c r="AI726" s="25"/>
      <c r="AJ726" s="6"/>
      <c r="AK726" s="19"/>
      <c r="AL726" s="19"/>
      <c r="AM726" s="19"/>
    </row>
    <row r="727" spans="1:39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25"/>
      <c r="AE727" s="25"/>
      <c r="AF727" s="25"/>
      <c r="AG727" s="25"/>
      <c r="AH727" s="25"/>
      <c r="AI727" s="25"/>
      <c r="AJ727" s="6"/>
      <c r="AK727" s="19"/>
      <c r="AL727" s="19"/>
      <c r="AM727" s="19"/>
    </row>
    <row r="728" spans="1:39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25"/>
      <c r="AE728" s="25"/>
      <c r="AF728" s="25"/>
      <c r="AG728" s="25"/>
      <c r="AH728" s="25"/>
      <c r="AI728" s="25"/>
      <c r="AJ728" s="6"/>
      <c r="AK728" s="19"/>
      <c r="AL728" s="19"/>
      <c r="AM728" s="19"/>
    </row>
    <row r="729" spans="1:3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25"/>
      <c r="AE729" s="25"/>
      <c r="AF729" s="25"/>
      <c r="AG729" s="25"/>
      <c r="AH729" s="25"/>
      <c r="AI729" s="25"/>
      <c r="AJ729" s="6"/>
      <c r="AK729" s="19"/>
      <c r="AL729" s="19"/>
      <c r="AM729" s="19"/>
    </row>
    <row r="730" spans="1:39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25"/>
      <c r="AE730" s="25"/>
      <c r="AF730" s="25"/>
      <c r="AG730" s="25"/>
      <c r="AH730" s="25"/>
      <c r="AI730" s="25"/>
      <c r="AJ730" s="6"/>
      <c r="AK730" s="19"/>
      <c r="AL730" s="19"/>
      <c r="AM730" s="19"/>
    </row>
    <row r="731" spans="1:39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25"/>
      <c r="AE731" s="25"/>
      <c r="AF731" s="25"/>
      <c r="AG731" s="25"/>
      <c r="AH731" s="25"/>
      <c r="AI731" s="25"/>
      <c r="AJ731" s="6"/>
      <c r="AK731" s="19"/>
      <c r="AL731" s="19"/>
      <c r="AM731" s="19"/>
    </row>
    <row r="732" spans="1:39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25"/>
      <c r="AE732" s="25"/>
      <c r="AF732" s="25"/>
      <c r="AG732" s="25"/>
      <c r="AH732" s="25"/>
      <c r="AI732" s="25"/>
      <c r="AJ732" s="6"/>
      <c r="AK732" s="19"/>
      <c r="AL732" s="19"/>
      <c r="AM732" s="19"/>
    </row>
    <row r="733" spans="1:39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25"/>
      <c r="AE733" s="25"/>
      <c r="AF733" s="25"/>
      <c r="AG733" s="25"/>
      <c r="AH733" s="25"/>
      <c r="AI733" s="25"/>
      <c r="AJ733" s="6"/>
      <c r="AK733" s="19"/>
      <c r="AL733" s="19"/>
      <c r="AM733" s="19"/>
    </row>
    <row r="734" spans="1:39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25"/>
      <c r="AE734" s="25"/>
      <c r="AF734" s="25"/>
      <c r="AG734" s="25"/>
      <c r="AH734" s="25"/>
      <c r="AI734" s="25"/>
      <c r="AJ734" s="6"/>
      <c r="AK734" s="19"/>
      <c r="AL734" s="19"/>
      <c r="AM734" s="19"/>
    </row>
    <row r="735" spans="1:39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25"/>
      <c r="AE735" s="25"/>
      <c r="AF735" s="25"/>
      <c r="AG735" s="25"/>
      <c r="AH735" s="25"/>
      <c r="AI735" s="25"/>
      <c r="AJ735" s="6"/>
      <c r="AK735" s="19"/>
      <c r="AL735" s="19"/>
      <c r="AM735" s="19"/>
    </row>
    <row r="736" spans="1:39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25"/>
      <c r="AE736" s="25"/>
      <c r="AF736" s="25"/>
      <c r="AG736" s="25"/>
      <c r="AH736" s="25"/>
      <c r="AI736" s="25"/>
      <c r="AJ736" s="6"/>
      <c r="AK736" s="19"/>
      <c r="AL736" s="19"/>
      <c r="AM736" s="19"/>
    </row>
    <row r="737" spans="1:39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25"/>
      <c r="AE737" s="25"/>
      <c r="AF737" s="25"/>
      <c r="AG737" s="25"/>
      <c r="AH737" s="25"/>
      <c r="AI737" s="25"/>
      <c r="AJ737" s="6"/>
      <c r="AK737" s="19"/>
      <c r="AL737" s="19"/>
      <c r="AM737" s="19"/>
    </row>
    <row r="738" spans="1:39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25"/>
      <c r="AE738" s="25"/>
      <c r="AF738" s="25"/>
      <c r="AG738" s="25"/>
      <c r="AH738" s="25"/>
      <c r="AI738" s="25"/>
      <c r="AJ738" s="6"/>
      <c r="AK738" s="19"/>
      <c r="AL738" s="19"/>
      <c r="AM738" s="19"/>
    </row>
    <row r="739" spans="1: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25"/>
      <c r="AE739" s="25"/>
      <c r="AF739" s="25"/>
      <c r="AG739" s="25"/>
      <c r="AH739" s="25"/>
      <c r="AI739" s="25"/>
      <c r="AJ739" s="6"/>
      <c r="AK739" s="19"/>
      <c r="AL739" s="19"/>
      <c r="AM739" s="19"/>
    </row>
    <row r="740" spans="1:39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25"/>
      <c r="AE740" s="25"/>
      <c r="AF740" s="25"/>
      <c r="AG740" s="25"/>
      <c r="AH740" s="25"/>
      <c r="AI740" s="25"/>
      <c r="AJ740" s="6"/>
      <c r="AK740" s="19"/>
      <c r="AL740" s="19"/>
      <c r="AM740" s="19"/>
    </row>
    <row r="741" spans="1:39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25"/>
      <c r="AE741" s="25"/>
      <c r="AF741" s="25"/>
      <c r="AG741" s="25"/>
      <c r="AH741" s="25"/>
      <c r="AI741" s="25"/>
      <c r="AJ741" s="6"/>
      <c r="AK741" s="19"/>
      <c r="AL741" s="19"/>
      <c r="AM741" s="19"/>
    </row>
    <row r="742" spans="1:39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25"/>
      <c r="AE742" s="25"/>
      <c r="AF742" s="25"/>
      <c r="AG742" s="25"/>
      <c r="AH742" s="25"/>
      <c r="AI742" s="25"/>
      <c r="AJ742" s="6"/>
      <c r="AK742" s="19"/>
      <c r="AL742" s="19"/>
      <c r="AM742" s="19"/>
    </row>
    <row r="743" spans="1:39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25"/>
      <c r="AE743" s="25"/>
      <c r="AF743" s="25"/>
      <c r="AG743" s="25"/>
      <c r="AH743" s="25"/>
      <c r="AI743" s="25"/>
      <c r="AJ743" s="6"/>
      <c r="AK743" s="19"/>
      <c r="AL743" s="19"/>
      <c r="AM743" s="19"/>
    </row>
    <row r="744" spans="1:39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25"/>
      <c r="AE744" s="25"/>
      <c r="AF744" s="25"/>
      <c r="AG744" s="25"/>
      <c r="AH744" s="25"/>
      <c r="AI744" s="25"/>
      <c r="AJ744" s="6"/>
      <c r="AK744" s="19"/>
      <c r="AL744" s="19"/>
      <c r="AM744" s="19"/>
    </row>
    <row r="745" spans="1:39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25"/>
      <c r="AE745" s="25"/>
      <c r="AF745" s="25"/>
      <c r="AG745" s="25"/>
      <c r="AH745" s="25"/>
      <c r="AI745" s="25"/>
      <c r="AJ745" s="6"/>
      <c r="AK745" s="19"/>
      <c r="AL745" s="19"/>
      <c r="AM745" s="19"/>
    </row>
    <row r="746" spans="1:39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25"/>
      <c r="AE746" s="25"/>
      <c r="AF746" s="25"/>
      <c r="AG746" s="25"/>
      <c r="AH746" s="25"/>
      <c r="AI746" s="25"/>
      <c r="AJ746" s="6"/>
      <c r="AK746" s="19"/>
      <c r="AL746" s="19"/>
      <c r="AM746" s="19"/>
    </row>
    <row r="747" spans="1:39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25"/>
      <c r="AE747" s="25"/>
      <c r="AF747" s="25"/>
      <c r="AG747" s="25"/>
      <c r="AH747" s="25"/>
      <c r="AI747" s="25"/>
      <c r="AJ747" s="6"/>
      <c r="AK747" s="19"/>
      <c r="AL747" s="19"/>
      <c r="AM747" s="19"/>
    </row>
    <row r="748" spans="1:39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25"/>
      <c r="AE748" s="25"/>
      <c r="AF748" s="25"/>
      <c r="AG748" s="25"/>
      <c r="AH748" s="25"/>
      <c r="AI748" s="25"/>
      <c r="AJ748" s="6"/>
      <c r="AK748" s="19"/>
      <c r="AL748" s="19"/>
      <c r="AM748" s="19"/>
    </row>
    <row r="749" spans="1:3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25"/>
      <c r="AE749" s="25"/>
      <c r="AF749" s="25"/>
      <c r="AG749" s="25"/>
      <c r="AH749" s="25"/>
      <c r="AI749" s="25"/>
      <c r="AJ749" s="6"/>
      <c r="AK749" s="19"/>
      <c r="AL749" s="19"/>
      <c r="AM749" s="19"/>
    </row>
    <row r="750" spans="1:39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25"/>
      <c r="AE750" s="25"/>
      <c r="AF750" s="25"/>
      <c r="AG750" s="25"/>
      <c r="AH750" s="25"/>
      <c r="AI750" s="25"/>
      <c r="AJ750" s="6"/>
      <c r="AK750" s="19"/>
      <c r="AL750" s="19"/>
      <c r="AM750" s="19"/>
    </row>
    <row r="751" spans="1:39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25"/>
      <c r="AE751" s="25"/>
      <c r="AF751" s="25"/>
      <c r="AG751" s="25"/>
      <c r="AH751" s="25"/>
      <c r="AI751" s="25"/>
      <c r="AJ751" s="6"/>
      <c r="AK751" s="19"/>
      <c r="AL751" s="19"/>
      <c r="AM751" s="19"/>
    </row>
    <row r="752" spans="1:39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25"/>
      <c r="AE752" s="25"/>
      <c r="AF752" s="25"/>
      <c r="AG752" s="25"/>
      <c r="AH752" s="25"/>
      <c r="AI752" s="25"/>
      <c r="AJ752" s="6"/>
      <c r="AK752" s="19"/>
      <c r="AL752" s="19"/>
      <c r="AM752" s="19"/>
    </row>
    <row r="753" spans="1:39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25"/>
      <c r="AE753" s="25"/>
      <c r="AF753" s="25"/>
      <c r="AG753" s="25"/>
      <c r="AH753" s="25"/>
      <c r="AI753" s="25"/>
      <c r="AJ753" s="6"/>
      <c r="AK753" s="19"/>
      <c r="AL753" s="19"/>
      <c r="AM753" s="19"/>
    </row>
    <row r="754" spans="1:39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25"/>
      <c r="AE754" s="25"/>
      <c r="AF754" s="25"/>
      <c r="AG754" s="25"/>
      <c r="AH754" s="25"/>
      <c r="AI754" s="25"/>
      <c r="AJ754" s="6"/>
      <c r="AK754" s="19"/>
      <c r="AL754" s="19"/>
      <c r="AM754" s="19"/>
    </row>
    <row r="755" spans="1:39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25"/>
      <c r="AE755" s="25"/>
      <c r="AF755" s="25"/>
      <c r="AG755" s="25"/>
      <c r="AH755" s="25"/>
      <c r="AI755" s="25"/>
      <c r="AJ755" s="6"/>
      <c r="AK755" s="19"/>
      <c r="AL755" s="19"/>
      <c r="AM755" s="19"/>
    </row>
    <row r="756" spans="1:39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25"/>
      <c r="AE756" s="25"/>
      <c r="AF756" s="25"/>
      <c r="AG756" s="25"/>
      <c r="AH756" s="25"/>
      <c r="AI756" s="25"/>
      <c r="AJ756" s="6"/>
      <c r="AK756" s="19"/>
      <c r="AL756" s="19"/>
      <c r="AM756" s="19"/>
    </row>
    <row r="757" spans="1:39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25"/>
      <c r="AE757" s="25"/>
      <c r="AF757" s="25"/>
      <c r="AG757" s="25"/>
      <c r="AH757" s="25"/>
      <c r="AI757" s="25"/>
      <c r="AJ757" s="6"/>
      <c r="AK757" s="19"/>
      <c r="AL757" s="19"/>
      <c r="AM757" s="19"/>
    </row>
    <row r="758" spans="1:39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25"/>
      <c r="AE758" s="25"/>
      <c r="AF758" s="25"/>
      <c r="AG758" s="25"/>
      <c r="AH758" s="25"/>
      <c r="AI758" s="25"/>
      <c r="AJ758" s="6"/>
      <c r="AK758" s="19"/>
      <c r="AL758" s="19"/>
      <c r="AM758" s="19"/>
    </row>
    <row r="759" spans="1:3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25"/>
      <c r="AE759" s="25"/>
      <c r="AF759" s="25"/>
      <c r="AG759" s="25"/>
      <c r="AH759" s="25"/>
      <c r="AI759" s="25"/>
      <c r="AJ759" s="6"/>
      <c r="AK759" s="19"/>
      <c r="AL759" s="19"/>
      <c r="AM759" s="19"/>
    </row>
    <row r="760" spans="1:39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25"/>
      <c r="AE760" s="25"/>
      <c r="AF760" s="25"/>
      <c r="AG760" s="25"/>
      <c r="AH760" s="25"/>
      <c r="AI760" s="25"/>
      <c r="AJ760" s="6"/>
      <c r="AK760" s="19"/>
      <c r="AL760" s="19"/>
      <c r="AM760" s="19"/>
    </row>
    <row r="761" spans="1:39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25"/>
      <c r="AE761" s="25"/>
      <c r="AF761" s="25"/>
      <c r="AG761" s="25"/>
      <c r="AH761" s="25"/>
      <c r="AI761" s="25"/>
      <c r="AJ761" s="6"/>
      <c r="AK761" s="19"/>
      <c r="AL761" s="19"/>
      <c r="AM761" s="19"/>
    </row>
    <row r="762" spans="1:39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25"/>
      <c r="AE762" s="25"/>
      <c r="AF762" s="25"/>
      <c r="AG762" s="25"/>
      <c r="AH762" s="25"/>
      <c r="AI762" s="25"/>
      <c r="AJ762" s="6"/>
      <c r="AK762" s="19"/>
      <c r="AL762" s="19"/>
      <c r="AM762" s="19"/>
    </row>
    <row r="763" spans="1:39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25"/>
      <c r="AE763" s="25"/>
      <c r="AF763" s="25"/>
      <c r="AG763" s="25"/>
      <c r="AH763" s="25"/>
      <c r="AI763" s="25"/>
      <c r="AJ763" s="6"/>
      <c r="AK763" s="19"/>
      <c r="AL763" s="19"/>
      <c r="AM763" s="19"/>
    </row>
    <row r="764" spans="1:39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25"/>
      <c r="AE764" s="25"/>
      <c r="AF764" s="25"/>
      <c r="AG764" s="25"/>
      <c r="AH764" s="25"/>
      <c r="AI764" s="25"/>
      <c r="AJ764" s="6"/>
      <c r="AK764" s="19"/>
      <c r="AL764" s="19"/>
      <c r="AM764" s="19"/>
    </row>
    <row r="765" spans="1:39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25"/>
      <c r="AE765" s="25"/>
      <c r="AF765" s="25"/>
      <c r="AG765" s="25"/>
      <c r="AH765" s="25"/>
      <c r="AI765" s="25"/>
      <c r="AJ765" s="6"/>
      <c r="AK765" s="19"/>
      <c r="AL765" s="19"/>
      <c r="AM765" s="19"/>
    </row>
    <row r="766" spans="1:39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25"/>
      <c r="AE766" s="25"/>
      <c r="AF766" s="25"/>
      <c r="AG766" s="25"/>
      <c r="AH766" s="25"/>
      <c r="AI766" s="25"/>
      <c r="AJ766" s="6"/>
      <c r="AK766" s="19"/>
      <c r="AL766" s="19"/>
      <c r="AM766" s="19"/>
    </row>
    <row r="767" spans="1:39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25"/>
      <c r="AE767" s="25"/>
      <c r="AF767" s="25"/>
      <c r="AG767" s="25"/>
      <c r="AH767" s="25"/>
      <c r="AI767" s="25"/>
      <c r="AJ767" s="6"/>
      <c r="AK767" s="19"/>
      <c r="AL767" s="19"/>
      <c r="AM767" s="19"/>
    </row>
    <row r="768" spans="1:39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25"/>
      <c r="AE768" s="25"/>
      <c r="AF768" s="25"/>
      <c r="AG768" s="25"/>
      <c r="AH768" s="25"/>
      <c r="AI768" s="25"/>
      <c r="AJ768" s="6"/>
      <c r="AK768" s="19"/>
      <c r="AL768" s="19"/>
      <c r="AM768" s="19"/>
    </row>
    <row r="769" spans="1:3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25"/>
      <c r="AE769" s="25"/>
      <c r="AF769" s="25"/>
      <c r="AG769" s="25"/>
      <c r="AH769" s="25"/>
      <c r="AI769" s="25"/>
      <c r="AJ769" s="6"/>
      <c r="AK769" s="19"/>
      <c r="AL769" s="19"/>
      <c r="AM769" s="19"/>
    </row>
    <row r="770" spans="1:39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25"/>
      <c r="AE770" s="25"/>
      <c r="AF770" s="25"/>
      <c r="AG770" s="25"/>
      <c r="AH770" s="25"/>
      <c r="AI770" s="25"/>
      <c r="AJ770" s="6"/>
      <c r="AK770" s="19"/>
      <c r="AL770" s="19"/>
      <c r="AM770" s="19"/>
    </row>
    <row r="771" spans="1:39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25"/>
      <c r="AE771" s="25"/>
      <c r="AF771" s="25"/>
      <c r="AG771" s="25"/>
      <c r="AH771" s="25"/>
      <c r="AI771" s="25"/>
      <c r="AJ771" s="6"/>
      <c r="AK771" s="19"/>
      <c r="AL771" s="19"/>
      <c r="AM771" s="19"/>
    </row>
    <row r="772" spans="1:39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25"/>
      <c r="AE772" s="25"/>
      <c r="AF772" s="25"/>
      <c r="AG772" s="25"/>
      <c r="AH772" s="25"/>
      <c r="AI772" s="25"/>
      <c r="AJ772" s="6"/>
      <c r="AK772" s="19"/>
      <c r="AL772" s="19"/>
      <c r="AM772" s="19"/>
    </row>
    <row r="773" spans="1:39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25"/>
      <c r="AE773" s="25"/>
      <c r="AF773" s="25"/>
      <c r="AG773" s="25"/>
      <c r="AH773" s="25"/>
      <c r="AI773" s="25"/>
      <c r="AJ773" s="6"/>
      <c r="AK773" s="19"/>
      <c r="AL773" s="19"/>
      <c r="AM773" s="19"/>
    </row>
    <row r="774" spans="1:39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25"/>
      <c r="AE774" s="25"/>
      <c r="AF774" s="25"/>
      <c r="AG774" s="25"/>
      <c r="AH774" s="25"/>
      <c r="AI774" s="25"/>
      <c r="AJ774" s="6"/>
      <c r="AK774" s="19"/>
      <c r="AL774" s="19"/>
      <c r="AM774" s="19"/>
    </row>
    <row r="775" spans="1:39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25"/>
      <c r="AE775" s="25"/>
      <c r="AF775" s="25"/>
      <c r="AG775" s="25"/>
      <c r="AH775" s="25"/>
      <c r="AI775" s="25"/>
      <c r="AJ775" s="6"/>
      <c r="AK775" s="19"/>
      <c r="AL775" s="19"/>
      <c r="AM775" s="19"/>
    </row>
    <row r="776" spans="1:39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25"/>
      <c r="AE776" s="25"/>
      <c r="AF776" s="25"/>
      <c r="AG776" s="25"/>
      <c r="AH776" s="25"/>
      <c r="AI776" s="25"/>
      <c r="AJ776" s="6"/>
      <c r="AK776" s="19"/>
      <c r="AL776" s="19"/>
      <c r="AM776" s="19"/>
    </row>
    <row r="777" spans="1:39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25"/>
      <c r="AE777" s="25"/>
      <c r="AF777" s="25"/>
      <c r="AG777" s="25"/>
      <c r="AH777" s="25"/>
      <c r="AI777" s="25"/>
      <c r="AJ777" s="6"/>
      <c r="AK777" s="19"/>
      <c r="AL777" s="19"/>
      <c r="AM777" s="19"/>
    </row>
    <row r="778" spans="1:39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25"/>
      <c r="AE778" s="25"/>
      <c r="AF778" s="25"/>
      <c r="AG778" s="25"/>
      <c r="AH778" s="25"/>
      <c r="AI778" s="25"/>
      <c r="AJ778" s="6"/>
      <c r="AK778" s="19"/>
      <c r="AL778" s="19"/>
      <c r="AM778" s="19"/>
    </row>
    <row r="779" spans="1:3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25"/>
      <c r="AE779" s="25"/>
      <c r="AF779" s="25"/>
      <c r="AG779" s="25"/>
      <c r="AH779" s="25"/>
      <c r="AI779" s="25"/>
      <c r="AJ779" s="6"/>
      <c r="AK779" s="19"/>
      <c r="AL779" s="19"/>
      <c r="AM779" s="19"/>
    </row>
    <row r="780" spans="1:39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25"/>
      <c r="AE780" s="25"/>
      <c r="AF780" s="25"/>
      <c r="AG780" s="25"/>
      <c r="AH780" s="25"/>
      <c r="AI780" s="25"/>
      <c r="AJ780" s="6"/>
      <c r="AK780" s="19"/>
      <c r="AL780" s="19"/>
      <c r="AM780" s="19"/>
    </row>
    <row r="781" spans="1:39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25"/>
      <c r="AE781" s="25"/>
      <c r="AF781" s="25"/>
      <c r="AG781" s="25"/>
      <c r="AH781" s="25"/>
      <c r="AI781" s="25"/>
      <c r="AJ781" s="6"/>
      <c r="AK781" s="19"/>
      <c r="AL781" s="19"/>
      <c r="AM781" s="19"/>
    </row>
    <row r="782" spans="1:39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25"/>
      <c r="AE782" s="25"/>
      <c r="AF782" s="25"/>
      <c r="AG782" s="25"/>
      <c r="AH782" s="25"/>
      <c r="AI782" s="25"/>
      <c r="AJ782" s="6"/>
      <c r="AK782" s="19"/>
      <c r="AL782" s="19"/>
      <c r="AM782" s="19"/>
    </row>
    <row r="783" spans="1:39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25"/>
      <c r="AE783" s="25"/>
      <c r="AF783" s="25"/>
      <c r="AG783" s="25"/>
      <c r="AH783" s="25"/>
      <c r="AI783" s="25"/>
      <c r="AJ783" s="6"/>
      <c r="AK783" s="19"/>
      <c r="AL783" s="19"/>
      <c r="AM783" s="19"/>
    </row>
    <row r="784" spans="1:39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25"/>
      <c r="AE784" s="25"/>
      <c r="AF784" s="25"/>
      <c r="AG784" s="25"/>
      <c r="AH784" s="25"/>
      <c r="AI784" s="25"/>
      <c r="AJ784" s="6"/>
      <c r="AK784" s="19"/>
      <c r="AL784" s="19"/>
      <c r="AM784" s="19"/>
    </row>
    <row r="785" spans="1:39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25"/>
      <c r="AE785" s="25"/>
      <c r="AF785" s="25"/>
      <c r="AG785" s="25"/>
      <c r="AH785" s="25"/>
      <c r="AI785" s="25"/>
      <c r="AJ785" s="6"/>
      <c r="AK785" s="19"/>
      <c r="AL785" s="19"/>
      <c r="AM785" s="19"/>
    </row>
    <row r="786" spans="1:39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25"/>
      <c r="AE786" s="25"/>
      <c r="AF786" s="25"/>
      <c r="AG786" s="25"/>
      <c r="AH786" s="25"/>
      <c r="AI786" s="25"/>
      <c r="AJ786" s="6"/>
      <c r="AK786" s="19"/>
      <c r="AL786" s="19"/>
      <c r="AM786" s="19"/>
    </row>
    <row r="787" spans="1:39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25"/>
      <c r="AE787" s="25"/>
      <c r="AF787" s="25"/>
      <c r="AG787" s="25"/>
      <c r="AH787" s="25"/>
      <c r="AI787" s="25"/>
      <c r="AJ787" s="6"/>
      <c r="AK787" s="19"/>
      <c r="AL787" s="19"/>
      <c r="AM787" s="19"/>
    </row>
    <row r="788" spans="1:39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25"/>
      <c r="AE788" s="25"/>
      <c r="AF788" s="25"/>
      <c r="AG788" s="25"/>
      <c r="AH788" s="25"/>
      <c r="AI788" s="25"/>
      <c r="AJ788" s="6"/>
      <c r="AK788" s="19"/>
      <c r="AL788" s="19"/>
      <c r="AM788" s="19"/>
    </row>
    <row r="789" spans="1:3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25"/>
      <c r="AE789" s="25"/>
      <c r="AF789" s="25"/>
      <c r="AG789" s="25"/>
      <c r="AH789" s="25"/>
      <c r="AI789" s="25"/>
      <c r="AJ789" s="6"/>
      <c r="AK789" s="19"/>
      <c r="AL789" s="19"/>
      <c r="AM789" s="19"/>
    </row>
    <row r="790" spans="1:39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25"/>
      <c r="AE790" s="25"/>
      <c r="AF790" s="25"/>
      <c r="AG790" s="25"/>
      <c r="AH790" s="25"/>
      <c r="AI790" s="25"/>
      <c r="AJ790" s="6"/>
      <c r="AK790" s="19"/>
      <c r="AL790" s="19"/>
      <c r="AM790" s="19"/>
    </row>
    <row r="791" spans="1:39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25"/>
      <c r="AE791" s="25"/>
      <c r="AF791" s="25"/>
      <c r="AG791" s="25"/>
      <c r="AH791" s="25"/>
      <c r="AI791" s="25"/>
      <c r="AJ791" s="6"/>
      <c r="AK791" s="19"/>
      <c r="AL791" s="19"/>
      <c r="AM791" s="19"/>
    </row>
    <row r="792" spans="1:39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25"/>
      <c r="AE792" s="25"/>
      <c r="AF792" s="25"/>
      <c r="AG792" s="25"/>
      <c r="AH792" s="25"/>
      <c r="AI792" s="25"/>
      <c r="AJ792" s="6"/>
      <c r="AK792" s="19"/>
      <c r="AL792" s="19"/>
      <c r="AM792" s="19"/>
    </row>
    <row r="793" spans="1:39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25"/>
      <c r="AE793" s="25"/>
      <c r="AF793" s="25"/>
      <c r="AG793" s="25"/>
      <c r="AH793" s="25"/>
      <c r="AI793" s="25"/>
      <c r="AJ793" s="6"/>
      <c r="AK793" s="19"/>
      <c r="AL793" s="19"/>
      <c r="AM793" s="19"/>
    </row>
    <row r="794" spans="1:39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25"/>
      <c r="AE794" s="25"/>
      <c r="AF794" s="25"/>
      <c r="AG794" s="25"/>
      <c r="AH794" s="25"/>
      <c r="AI794" s="25"/>
      <c r="AJ794" s="6"/>
      <c r="AK794" s="19"/>
      <c r="AL794" s="19"/>
      <c r="AM794" s="19"/>
    </row>
    <row r="795" spans="1:39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25"/>
      <c r="AE795" s="25"/>
      <c r="AF795" s="25"/>
      <c r="AG795" s="25"/>
      <c r="AH795" s="25"/>
      <c r="AI795" s="25"/>
      <c r="AJ795" s="6"/>
      <c r="AK795" s="19"/>
      <c r="AL795" s="19"/>
      <c r="AM795" s="19"/>
    </row>
    <row r="796" spans="1:39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25"/>
      <c r="AE796" s="25"/>
      <c r="AF796" s="25"/>
      <c r="AG796" s="25"/>
      <c r="AH796" s="25"/>
      <c r="AI796" s="25"/>
      <c r="AJ796" s="6"/>
      <c r="AK796" s="19"/>
      <c r="AL796" s="19"/>
      <c r="AM796" s="19"/>
    </row>
    <row r="797" spans="1:39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25"/>
      <c r="AE797" s="25"/>
      <c r="AF797" s="25"/>
      <c r="AG797" s="25"/>
      <c r="AH797" s="25"/>
      <c r="AI797" s="25"/>
      <c r="AJ797" s="6"/>
      <c r="AK797" s="19"/>
      <c r="AL797" s="19"/>
      <c r="AM797" s="19"/>
    </row>
    <row r="798" spans="1:39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25"/>
      <c r="AE798" s="25"/>
      <c r="AF798" s="25"/>
      <c r="AG798" s="25"/>
      <c r="AH798" s="25"/>
      <c r="AI798" s="25"/>
      <c r="AJ798" s="6"/>
      <c r="AK798" s="19"/>
      <c r="AL798" s="19"/>
      <c r="AM798" s="19"/>
    </row>
    <row r="799" spans="1:3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25"/>
      <c r="AE799" s="25"/>
      <c r="AF799" s="25"/>
      <c r="AG799" s="25"/>
      <c r="AH799" s="25"/>
      <c r="AI799" s="25"/>
      <c r="AJ799" s="6"/>
      <c r="AK799" s="19"/>
      <c r="AL799" s="19"/>
      <c r="AM799" s="19"/>
    </row>
    <row r="800" spans="1:39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25"/>
      <c r="AE800" s="25"/>
      <c r="AF800" s="25"/>
      <c r="AG800" s="25"/>
      <c r="AH800" s="25"/>
      <c r="AI800" s="25"/>
      <c r="AJ800" s="6"/>
      <c r="AK800" s="19"/>
      <c r="AL800" s="19"/>
      <c r="AM800" s="19"/>
    </row>
    <row r="801" spans="1:39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25"/>
      <c r="AE801" s="25"/>
      <c r="AF801" s="25"/>
      <c r="AG801" s="25"/>
      <c r="AH801" s="25"/>
      <c r="AI801" s="25"/>
      <c r="AJ801" s="6"/>
      <c r="AK801" s="19"/>
      <c r="AL801" s="19"/>
      <c r="AM801" s="19"/>
    </row>
    <row r="802" spans="1:39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25"/>
      <c r="AE802" s="25"/>
      <c r="AF802" s="25"/>
      <c r="AG802" s="25"/>
      <c r="AH802" s="25"/>
      <c r="AI802" s="25"/>
      <c r="AJ802" s="6"/>
      <c r="AK802" s="19"/>
      <c r="AL802" s="19"/>
      <c r="AM802" s="19"/>
    </row>
    <row r="803" spans="1:39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25"/>
      <c r="AE803" s="25"/>
      <c r="AF803" s="25"/>
      <c r="AG803" s="25"/>
      <c r="AH803" s="25"/>
      <c r="AI803" s="25"/>
      <c r="AJ803" s="6"/>
      <c r="AK803" s="19"/>
      <c r="AL803" s="19"/>
      <c r="AM803" s="19"/>
    </row>
    <row r="804" spans="1:39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25"/>
      <c r="AE804" s="25"/>
      <c r="AF804" s="25"/>
      <c r="AG804" s="25"/>
      <c r="AH804" s="25"/>
      <c r="AI804" s="25"/>
      <c r="AJ804" s="6"/>
      <c r="AK804" s="19"/>
      <c r="AL804" s="19"/>
      <c r="AM804" s="19"/>
    </row>
    <row r="805" spans="1:39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25"/>
      <c r="AE805" s="25"/>
      <c r="AF805" s="25"/>
      <c r="AG805" s="25"/>
      <c r="AH805" s="25"/>
      <c r="AI805" s="25"/>
      <c r="AJ805" s="6"/>
      <c r="AK805" s="19"/>
      <c r="AL805" s="19"/>
      <c r="AM805" s="19"/>
    </row>
    <row r="806" spans="1:39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25"/>
      <c r="AE806" s="25"/>
      <c r="AF806" s="25"/>
      <c r="AG806" s="25"/>
      <c r="AH806" s="25"/>
      <c r="AI806" s="25"/>
      <c r="AJ806" s="6"/>
      <c r="AK806" s="19"/>
      <c r="AL806" s="19"/>
      <c r="AM806" s="19"/>
    </row>
    <row r="807" spans="1:39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25"/>
      <c r="AE807" s="25"/>
      <c r="AF807" s="25"/>
      <c r="AG807" s="25"/>
      <c r="AH807" s="25"/>
      <c r="AI807" s="25"/>
      <c r="AJ807" s="6"/>
      <c r="AK807" s="19"/>
      <c r="AL807" s="19"/>
      <c r="AM807" s="19"/>
    </row>
    <row r="808" spans="1:39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25"/>
      <c r="AE808" s="25"/>
      <c r="AF808" s="25"/>
      <c r="AG808" s="25"/>
      <c r="AH808" s="25"/>
      <c r="AI808" s="25"/>
      <c r="AJ808" s="6"/>
      <c r="AK808" s="19"/>
      <c r="AL808" s="19"/>
      <c r="AM808" s="19"/>
    </row>
    <row r="809" spans="1:3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25"/>
      <c r="AE809" s="25"/>
      <c r="AF809" s="25"/>
      <c r="AG809" s="25"/>
      <c r="AH809" s="25"/>
      <c r="AI809" s="25"/>
      <c r="AJ809" s="6"/>
      <c r="AK809" s="19"/>
      <c r="AL809" s="19"/>
      <c r="AM809" s="19"/>
    </row>
    <row r="810" spans="1:39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25"/>
      <c r="AE810" s="25"/>
      <c r="AF810" s="25"/>
      <c r="AG810" s="25"/>
      <c r="AH810" s="25"/>
      <c r="AI810" s="25"/>
      <c r="AJ810" s="6"/>
      <c r="AK810" s="19"/>
      <c r="AL810" s="19"/>
      <c r="AM810" s="19"/>
    </row>
    <row r="811" spans="1:39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25"/>
      <c r="AE811" s="25"/>
      <c r="AF811" s="25"/>
      <c r="AG811" s="25"/>
      <c r="AH811" s="25"/>
      <c r="AI811" s="25"/>
      <c r="AJ811" s="6"/>
      <c r="AK811" s="19"/>
      <c r="AL811" s="19"/>
      <c r="AM811" s="19"/>
    </row>
    <row r="812" spans="1:39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25"/>
      <c r="AE812" s="25"/>
      <c r="AF812" s="25"/>
      <c r="AG812" s="25"/>
      <c r="AH812" s="25"/>
      <c r="AI812" s="25"/>
      <c r="AJ812" s="6"/>
      <c r="AK812" s="19"/>
      <c r="AL812" s="19"/>
      <c r="AM812" s="19"/>
    </row>
    <row r="813" spans="1:39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25"/>
      <c r="AE813" s="25"/>
      <c r="AF813" s="25"/>
      <c r="AG813" s="25"/>
      <c r="AH813" s="25"/>
      <c r="AI813" s="25"/>
      <c r="AJ813" s="6"/>
      <c r="AK813" s="19"/>
      <c r="AL813" s="19"/>
      <c r="AM813" s="19"/>
    </row>
    <row r="814" spans="1:39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25"/>
      <c r="AE814" s="25"/>
      <c r="AF814" s="25"/>
      <c r="AG814" s="25"/>
      <c r="AH814" s="25"/>
      <c r="AI814" s="25"/>
      <c r="AJ814" s="6"/>
      <c r="AK814" s="19"/>
      <c r="AL814" s="19"/>
      <c r="AM814" s="19"/>
    </row>
    <row r="815" spans="1:39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25"/>
      <c r="AE815" s="25"/>
      <c r="AF815" s="25"/>
      <c r="AG815" s="25"/>
      <c r="AH815" s="25"/>
      <c r="AI815" s="25"/>
      <c r="AJ815" s="6"/>
      <c r="AK815" s="19"/>
      <c r="AL815" s="19"/>
      <c r="AM815" s="19"/>
    </row>
    <row r="816" spans="1:39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25"/>
      <c r="AE816" s="25"/>
      <c r="AF816" s="25"/>
      <c r="AG816" s="25"/>
      <c r="AH816" s="25"/>
      <c r="AI816" s="25"/>
      <c r="AJ816" s="6"/>
      <c r="AK816" s="19"/>
      <c r="AL816" s="19"/>
      <c r="AM816" s="19"/>
    </row>
    <row r="817" spans="1:39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25"/>
      <c r="AE817" s="25"/>
      <c r="AF817" s="25"/>
      <c r="AG817" s="25"/>
      <c r="AH817" s="25"/>
      <c r="AI817" s="25"/>
      <c r="AJ817" s="6"/>
      <c r="AK817" s="19"/>
      <c r="AL817" s="19"/>
      <c r="AM817" s="19"/>
    </row>
    <row r="818" spans="1:39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25"/>
      <c r="AE818" s="25"/>
      <c r="AF818" s="25"/>
      <c r="AG818" s="25"/>
      <c r="AH818" s="25"/>
      <c r="AI818" s="25"/>
      <c r="AJ818" s="6"/>
      <c r="AK818" s="19"/>
      <c r="AL818" s="19"/>
      <c r="AM818" s="19"/>
    </row>
    <row r="819" spans="1:3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25"/>
      <c r="AE819" s="25"/>
      <c r="AF819" s="25"/>
      <c r="AG819" s="25"/>
      <c r="AH819" s="25"/>
      <c r="AI819" s="25"/>
      <c r="AJ819" s="6"/>
      <c r="AK819" s="19"/>
      <c r="AL819" s="19"/>
      <c r="AM819" s="19"/>
    </row>
    <row r="820" spans="1:39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25"/>
      <c r="AE820" s="25"/>
      <c r="AF820" s="25"/>
      <c r="AG820" s="25"/>
      <c r="AH820" s="25"/>
      <c r="AI820" s="25"/>
      <c r="AJ820" s="6"/>
      <c r="AK820" s="19"/>
      <c r="AL820" s="19"/>
      <c r="AM820" s="19"/>
    </row>
    <row r="821" spans="1:39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25"/>
      <c r="AE821" s="25"/>
      <c r="AF821" s="25"/>
      <c r="AG821" s="25"/>
      <c r="AH821" s="25"/>
      <c r="AI821" s="25"/>
      <c r="AJ821" s="6"/>
      <c r="AK821" s="19"/>
      <c r="AL821" s="19"/>
      <c r="AM821" s="19"/>
    </row>
    <row r="822" spans="1:39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25"/>
      <c r="AE822" s="25"/>
      <c r="AF822" s="25"/>
      <c r="AG822" s="25"/>
      <c r="AH822" s="25"/>
      <c r="AI822" s="25"/>
      <c r="AJ822" s="6"/>
      <c r="AK822" s="19"/>
      <c r="AL822" s="19"/>
      <c r="AM822" s="19"/>
    </row>
    <row r="823" spans="1:39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25"/>
      <c r="AE823" s="25"/>
      <c r="AF823" s="25"/>
      <c r="AG823" s="25"/>
      <c r="AH823" s="25"/>
      <c r="AI823" s="25"/>
      <c r="AJ823" s="6"/>
      <c r="AK823" s="19"/>
      <c r="AL823" s="19"/>
      <c r="AM823" s="19"/>
    </row>
    <row r="824" spans="1:39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25"/>
      <c r="AE824" s="25"/>
      <c r="AF824" s="25"/>
      <c r="AG824" s="25"/>
      <c r="AH824" s="25"/>
      <c r="AI824" s="25"/>
      <c r="AJ824" s="6"/>
      <c r="AK824" s="19"/>
      <c r="AL824" s="19"/>
      <c r="AM824" s="19"/>
    </row>
    <row r="825" spans="1:39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25"/>
      <c r="AE825" s="25"/>
      <c r="AF825" s="25"/>
      <c r="AG825" s="25"/>
      <c r="AH825" s="25"/>
      <c r="AI825" s="25"/>
      <c r="AJ825" s="6"/>
      <c r="AK825" s="19"/>
      <c r="AL825" s="19"/>
      <c r="AM825" s="19"/>
    </row>
    <row r="826" spans="1:39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25"/>
      <c r="AE826" s="25"/>
      <c r="AF826" s="25"/>
      <c r="AG826" s="25"/>
      <c r="AH826" s="25"/>
      <c r="AI826" s="25"/>
      <c r="AJ826" s="6"/>
      <c r="AK826" s="19"/>
      <c r="AL826" s="19"/>
      <c r="AM826" s="19"/>
    </row>
    <row r="827" spans="1:39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25"/>
      <c r="AE827" s="25"/>
      <c r="AF827" s="25"/>
      <c r="AG827" s="25"/>
      <c r="AH827" s="25"/>
      <c r="AI827" s="25"/>
      <c r="AJ827" s="6"/>
      <c r="AK827" s="19"/>
      <c r="AL827" s="19"/>
      <c r="AM827" s="19"/>
    </row>
    <row r="828" spans="1:39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25"/>
      <c r="AE828" s="25"/>
      <c r="AF828" s="25"/>
      <c r="AG828" s="25"/>
      <c r="AH828" s="25"/>
      <c r="AI828" s="25"/>
      <c r="AJ828" s="6"/>
      <c r="AK828" s="19"/>
      <c r="AL828" s="19"/>
      <c r="AM828" s="19"/>
    </row>
    <row r="829" spans="1:3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25"/>
      <c r="AE829" s="25"/>
      <c r="AF829" s="25"/>
      <c r="AG829" s="25"/>
      <c r="AH829" s="25"/>
      <c r="AI829" s="25"/>
      <c r="AJ829" s="6"/>
      <c r="AK829" s="19"/>
      <c r="AL829" s="19"/>
      <c r="AM829" s="19"/>
    </row>
    <row r="830" spans="1:39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25"/>
      <c r="AE830" s="25"/>
      <c r="AF830" s="25"/>
      <c r="AG830" s="25"/>
      <c r="AH830" s="25"/>
      <c r="AI830" s="25"/>
      <c r="AJ830" s="6"/>
      <c r="AK830" s="19"/>
      <c r="AL830" s="19"/>
      <c r="AM830" s="19"/>
    </row>
    <row r="831" spans="1:39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25"/>
      <c r="AE831" s="25"/>
      <c r="AF831" s="25"/>
      <c r="AG831" s="25"/>
      <c r="AH831" s="25"/>
      <c r="AI831" s="25"/>
      <c r="AJ831" s="6"/>
      <c r="AK831" s="19"/>
      <c r="AL831" s="19"/>
      <c r="AM831" s="19"/>
    </row>
    <row r="832" spans="1:39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25"/>
      <c r="AE832" s="25"/>
      <c r="AF832" s="25"/>
      <c r="AG832" s="25"/>
      <c r="AH832" s="25"/>
      <c r="AI832" s="25"/>
      <c r="AJ832" s="6"/>
      <c r="AK832" s="19"/>
      <c r="AL832" s="19"/>
      <c r="AM832" s="19"/>
    </row>
    <row r="833" spans="1:39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25"/>
      <c r="AE833" s="25"/>
      <c r="AF833" s="25"/>
      <c r="AG833" s="25"/>
      <c r="AH833" s="25"/>
      <c r="AI833" s="25"/>
      <c r="AJ833" s="6"/>
      <c r="AK833" s="19"/>
      <c r="AL833" s="19"/>
      <c r="AM833" s="19"/>
    </row>
    <row r="834" spans="1:39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25"/>
      <c r="AE834" s="25"/>
      <c r="AF834" s="25"/>
      <c r="AG834" s="25"/>
      <c r="AH834" s="25"/>
      <c r="AI834" s="25"/>
      <c r="AJ834" s="6"/>
      <c r="AK834" s="19"/>
      <c r="AL834" s="19"/>
      <c r="AM834" s="19"/>
    </row>
    <row r="835" spans="1:39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25"/>
      <c r="AE835" s="25"/>
      <c r="AF835" s="25"/>
      <c r="AG835" s="25"/>
      <c r="AH835" s="25"/>
      <c r="AI835" s="25"/>
      <c r="AJ835" s="6"/>
      <c r="AK835" s="19"/>
      <c r="AL835" s="19"/>
      <c r="AM835" s="19"/>
    </row>
    <row r="836" spans="1:39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25"/>
      <c r="AE836" s="25"/>
      <c r="AF836" s="25"/>
      <c r="AG836" s="25"/>
      <c r="AH836" s="25"/>
      <c r="AI836" s="25"/>
      <c r="AJ836" s="6"/>
      <c r="AK836" s="19"/>
      <c r="AL836" s="19"/>
      <c r="AM836" s="19"/>
    </row>
    <row r="837" spans="1:39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25"/>
      <c r="AE837" s="25"/>
      <c r="AF837" s="25"/>
      <c r="AG837" s="25"/>
      <c r="AH837" s="25"/>
      <c r="AI837" s="25"/>
      <c r="AJ837" s="6"/>
      <c r="AK837" s="19"/>
      <c r="AL837" s="19"/>
      <c r="AM837" s="19"/>
    </row>
    <row r="838" spans="1:39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25"/>
      <c r="AE838" s="25"/>
      <c r="AF838" s="25"/>
      <c r="AG838" s="25"/>
      <c r="AH838" s="25"/>
      <c r="AI838" s="25"/>
      <c r="AJ838" s="6"/>
      <c r="AK838" s="19"/>
      <c r="AL838" s="19"/>
      <c r="AM838" s="19"/>
    </row>
    <row r="839" spans="1: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25"/>
      <c r="AE839" s="25"/>
      <c r="AF839" s="25"/>
      <c r="AG839" s="25"/>
      <c r="AH839" s="25"/>
      <c r="AI839" s="25"/>
      <c r="AJ839" s="6"/>
      <c r="AK839" s="19"/>
      <c r="AL839" s="19"/>
      <c r="AM839" s="19"/>
    </row>
    <row r="840" spans="1:39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25"/>
      <c r="AE840" s="25"/>
      <c r="AF840" s="25"/>
      <c r="AG840" s="25"/>
      <c r="AH840" s="25"/>
      <c r="AI840" s="25"/>
      <c r="AJ840" s="6"/>
      <c r="AK840" s="19"/>
      <c r="AL840" s="19"/>
      <c r="AM840" s="19"/>
    </row>
    <row r="841" spans="1:39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25"/>
      <c r="AE841" s="25"/>
      <c r="AF841" s="25"/>
      <c r="AG841" s="25"/>
      <c r="AH841" s="25"/>
      <c r="AI841" s="25"/>
      <c r="AJ841" s="6"/>
      <c r="AK841" s="19"/>
      <c r="AL841" s="19"/>
      <c r="AM841" s="19"/>
    </row>
    <row r="842" spans="1:39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25"/>
      <c r="AE842" s="25"/>
      <c r="AF842" s="25"/>
      <c r="AG842" s="25"/>
      <c r="AH842" s="25"/>
      <c r="AI842" s="25"/>
      <c r="AJ842" s="6"/>
      <c r="AK842" s="19"/>
      <c r="AL842" s="19"/>
      <c r="AM842" s="19"/>
    </row>
    <row r="843" spans="1:39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25"/>
      <c r="AE843" s="25"/>
      <c r="AF843" s="25"/>
      <c r="AG843" s="25"/>
      <c r="AH843" s="25"/>
      <c r="AI843" s="25"/>
      <c r="AJ843" s="6"/>
      <c r="AK843" s="19"/>
      <c r="AL843" s="19"/>
      <c r="AM843" s="19"/>
    </row>
    <row r="844" spans="1:39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25"/>
      <c r="AE844" s="25"/>
      <c r="AF844" s="25"/>
      <c r="AG844" s="25"/>
      <c r="AH844" s="25"/>
      <c r="AI844" s="25"/>
      <c r="AJ844" s="6"/>
      <c r="AK844" s="19"/>
      <c r="AL844" s="19"/>
      <c r="AM844" s="19"/>
    </row>
    <row r="845" spans="1:39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25"/>
      <c r="AE845" s="25"/>
      <c r="AF845" s="25"/>
      <c r="AG845" s="25"/>
      <c r="AH845" s="25"/>
      <c r="AI845" s="25"/>
      <c r="AJ845" s="6"/>
      <c r="AK845" s="19"/>
      <c r="AL845" s="19"/>
      <c r="AM845" s="19"/>
    </row>
    <row r="846" spans="1:39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25"/>
      <c r="AE846" s="25"/>
      <c r="AF846" s="25"/>
      <c r="AG846" s="25"/>
      <c r="AH846" s="25"/>
      <c r="AI846" s="25"/>
      <c r="AJ846" s="6"/>
      <c r="AK846" s="19"/>
      <c r="AL846" s="19"/>
      <c r="AM846" s="19"/>
    </row>
    <row r="847" spans="1:39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25"/>
      <c r="AE847" s="25"/>
      <c r="AF847" s="25"/>
      <c r="AG847" s="25"/>
      <c r="AH847" s="25"/>
      <c r="AI847" s="25"/>
      <c r="AJ847" s="6"/>
      <c r="AK847" s="19"/>
      <c r="AL847" s="19"/>
      <c r="AM847" s="19"/>
    </row>
    <row r="848" spans="1:39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25"/>
      <c r="AE848" s="25"/>
      <c r="AF848" s="25"/>
      <c r="AG848" s="25"/>
      <c r="AH848" s="25"/>
      <c r="AI848" s="25"/>
      <c r="AJ848" s="6"/>
      <c r="AK848" s="19"/>
      <c r="AL848" s="19"/>
      <c r="AM848" s="19"/>
    </row>
    <row r="849" spans="1:3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25"/>
      <c r="AE849" s="25"/>
      <c r="AF849" s="25"/>
      <c r="AG849" s="25"/>
      <c r="AH849" s="25"/>
      <c r="AI849" s="25"/>
      <c r="AJ849" s="6"/>
      <c r="AK849" s="19"/>
      <c r="AL849" s="19"/>
      <c r="AM849" s="19"/>
    </row>
    <row r="850" spans="1:39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25"/>
      <c r="AE850" s="25"/>
      <c r="AF850" s="25"/>
      <c r="AG850" s="25"/>
      <c r="AH850" s="25"/>
      <c r="AI850" s="25"/>
      <c r="AJ850" s="6"/>
      <c r="AK850" s="19"/>
      <c r="AL850" s="19"/>
      <c r="AM850" s="19"/>
    </row>
    <row r="851" spans="1:39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25"/>
      <c r="AE851" s="25"/>
      <c r="AF851" s="25"/>
      <c r="AG851" s="25"/>
      <c r="AH851" s="25"/>
      <c r="AI851" s="25"/>
      <c r="AJ851" s="6"/>
      <c r="AK851" s="19"/>
      <c r="AL851" s="19"/>
      <c r="AM851" s="19"/>
    </row>
    <row r="852" spans="1:39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25"/>
      <c r="AE852" s="25"/>
      <c r="AF852" s="25"/>
      <c r="AG852" s="25"/>
      <c r="AH852" s="25"/>
      <c r="AI852" s="25"/>
      <c r="AJ852" s="6"/>
      <c r="AK852" s="19"/>
      <c r="AL852" s="19"/>
      <c r="AM852" s="19"/>
    </row>
    <row r="853" spans="1:39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25"/>
      <c r="AE853" s="25"/>
      <c r="AF853" s="25"/>
      <c r="AG853" s="25"/>
      <c r="AH853" s="25"/>
      <c r="AI853" s="25"/>
      <c r="AJ853" s="6"/>
      <c r="AK853" s="19"/>
      <c r="AL853" s="19"/>
      <c r="AM853" s="19"/>
    </row>
    <row r="854" spans="1:39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25"/>
      <c r="AE854" s="25"/>
      <c r="AF854" s="25"/>
      <c r="AG854" s="25"/>
      <c r="AH854" s="25"/>
      <c r="AI854" s="25"/>
      <c r="AJ854" s="6"/>
      <c r="AK854" s="19"/>
      <c r="AL854" s="19"/>
      <c r="AM854" s="19"/>
    </row>
    <row r="855" spans="1:39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25"/>
      <c r="AE855" s="25"/>
      <c r="AF855" s="25"/>
      <c r="AG855" s="25"/>
      <c r="AH855" s="25"/>
      <c r="AI855" s="25"/>
      <c r="AJ855" s="6"/>
      <c r="AK855" s="19"/>
      <c r="AL855" s="19"/>
      <c r="AM855" s="19"/>
    </row>
    <row r="856" spans="1:39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25"/>
      <c r="AE856" s="25"/>
      <c r="AF856" s="25"/>
      <c r="AG856" s="25"/>
      <c r="AH856" s="25"/>
      <c r="AI856" s="25"/>
      <c r="AJ856" s="6"/>
      <c r="AK856" s="19"/>
      <c r="AL856" s="19"/>
      <c r="AM856" s="19"/>
    </row>
    <row r="857" spans="1:39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25"/>
      <c r="AE857" s="25"/>
      <c r="AF857" s="25"/>
      <c r="AG857" s="25"/>
      <c r="AH857" s="25"/>
      <c r="AI857" s="25"/>
      <c r="AJ857" s="6"/>
      <c r="AK857" s="19"/>
      <c r="AL857" s="19"/>
      <c r="AM857" s="19"/>
    </row>
    <row r="858" spans="1:39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25"/>
      <c r="AE858" s="25"/>
      <c r="AF858" s="25"/>
      <c r="AG858" s="25"/>
      <c r="AH858" s="25"/>
      <c r="AI858" s="25"/>
      <c r="AJ858" s="6"/>
      <c r="AK858" s="19"/>
      <c r="AL858" s="19"/>
      <c r="AM858" s="19"/>
    </row>
    <row r="859" spans="1:3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25"/>
      <c r="AE859" s="25"/>
      <c r="AF859" s="25"/>
      <c r="AG859" s="25"/>
      <c r="AH859" s="25"/>
      <c r="AI859" s="25"/>
      <c r="AJ859" s="6"/>
      <c r="AK859" s="19"/>
      <c r="AL859" s="19"/>
      <c r="AM859" s="19"/>
    </row>
    <row r="860" spans="1:39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25"/>
      <c r="AE860" s="25"/>
      <c r="AF860" s="25"/>
      <c r="AG860" s="25"/>
      <c r="AH860" s="25"/>
      <c r="AI860" s="25"/>
      <c r="AJ860" s="6"/>
      <c r="AK860" s="19"/>
      <c r="AL860" s="19"/>
      <c r="AM860" s="19"/>
    </row>
    <row r="861" spans="1:39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25"/>
      <c r="AE861" s="25"/>
      <c r="AF861" s="25"/>
      <c r="AG861" s="25"/>
      <c r="AH861" s="25"/>
      <c r="AI861" s="25"/>
      <c r="AJ861" s="6"/>
      <c r="AK861" s="19"/>
      <c r="AL861" s="19"/>
      <c r="AM861" s="19"/>
    </row>
    <row r="862" spans="1:39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25"/>
      <c r="AE862" s="25"/>
      <c r="AF862" s="25"/>
      <c r="AG862" s="25"/>
      <c r="AH862" s="25"/>
      <c r="AI862" s="25"/>
      <c r="AJ862" s="6"/>
      <c r="AK862" s="19"/>
      <c r="AL862" s="19"/>
      <c r="AM862" s="19"/>
    </row>
    <row r="863" spans="1:39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25"/>
      <c r="AE863" s="25"/>
      <c r="AF863" s="25"/>
      <c r="AG863" s="25"/>
      <c r="AH863" s="25"/>
      <c r="AI863" s="25"/>
      <c r="AJ863" s="6"/>
      <c r="AK863" s="19"/>
      <c r="AL863" s="19"/>
      <c r="AM863" s="19"/>
    </row>
    <row r="864" spans="1:39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25"/>
      <c r="AE864" s="25"/>
      <c r="AF864" s="25"/>
      <c r="AG864" s="25"/>
      <c r="AH864" s="25"/>
      <c r="AI864" s="25"/>
      <c r="AJ864" s="6"/>
      <c r="AK864" s="19"/>
      <c r="AL864" s="19"/>
      <c r="AM864" s="19"/>
    </row>
    <row r="865" spans="1:39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25"/>
      <c r="AE865" s="25"/>
      <c r="AF865" s="25"/>
      <c r="AG865" s="25"/>
      <c r="AH865" s="25"/>
      <c r="AI865" s="25"/>
      <c r="AJ865" s="6"/>
      <c r="AK865" s="19"/>
      <c r="AL865" s="19"/>
      <c r="AM865" s="19"/>
    </row>
    <row r="866" spans="1:39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25"/>
      <c r="AE866" s="25"/>
      <c r="AF866" s="25"/>
      <c r="AG866" s="25"/>
      <c r="AH866" s="25"/>
      <c r="AI866" s="25"/>
      <c r="AJ866" s="6"/>
      <c r="AK866" s="19"/>
      <c r="AL866" s="19"/>
      <c r="AM866" s="19"/>
    </row>
    <row r="867" spans="1:39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25"/>
      <c r="AE867" s="25"/>
      <c r="AF867" s="25"/>
      <c r="AG867" s="25"/>
      <c r="AH867" s="25"/>
      <c r="AI867" s="25"/>
      <c r="AJ867" s="6"/>
      <c r="AK867" s="19"/>
      <c r="AL867" s="19"/>
      <c r="AM867" s="19"/>
    </row>
    <row r="868" spans="1:39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25"/>
      <c r="AE868" s="25"/>
      <c r="AF868" s="25"/>
      <c r="AG868" s="25"/>
      <c r="AH868" s="25"/>
      <c r="AI868" s="25"/>
      <c r="AJ868" s="6"/>
      <c r="AK868" s="19"/>
      <c r="AL868" s="19"/>
      <c r="AM868" s="19"/>
    </row>
    <row r="869" spans="1:3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25"/>
      <c r="AE869" s="25"/>
      <c r="AF869" s="25"/>
      <c r="AG869" s="25"/>
      <c r="AH869" s="25"/>
      <c r="AI869" s="25"/>
      <c r="AJ869" s="6"/>
      <c r="AK869" s="19"/>
      <c r="AL869" s="19"/>
      <c r="AM869" s="19"/>
    </row>
    <row r="870" spans="1:39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25"/>
      <c r="AE870" s="25"/>
      <c r="AF870" s="25"/>
      <c r="AG870" s="25"/>
      <c r="AH870" s="25"/>
      <c r="AI870" s="25"/>
      <c r="AJ870" s="6"/>
      <c r="AK870" s="19"/>
      <c r="AL870" s="19"/>
      <c r="AM870" s="19"/>
    </row>
    <row r="871" spans="1:39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25"/>
      <c r="AE871" s="25"/>
      <c r="AF871" s="25"/>
      <c r="AG871" s="25"/>
      <c r="AH871" s="25"/>
      <c r="AI871" s="25"/>
      <c r="AJ871" s="6"/>
      <c r="AK871" s="19"/>
      <c r="AL871" s="19"/>
      <c r="AM871" s="19"/>
    </row>
    <row r="872" spans="1:39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25"/>
      <c r="AE872" s="25"/>
      <c r="AF872" s="25"/>
      <c r="AG872" s="25"/>
      <c r="AH872" s="25"/>
      <c r="AI872" s="25"/>
      <c r="AJ872" s="6"/>
      <c r="AK872" s="19"/>
      <c r="AL872" s="19"/>
      <c r="AM872" s="19"/>
    </row>
    <row r="873" spans="1:39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25"/>
      <c r="AE873" s="25"/>
      <c r="AF873" s="25"/>
      <c r="AG873" s="25"/>
      <c r="AH873" s="25"/>
      <c r="AI873" s="25"/>
      <c r="AJ873" s="6"/>
      <c r="AK873" s="19"/>
      <c r="AL873" s="19"/>
      <c r="AM873" s="19"/>
    </row>
    <row r="874" spans="1:39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25"/>
      <c r="AE874" s="25"/>
      <c r="AF874" s="25"/>
      <c r="AG874" s="25"/>
      <c r="AH874" s="25"/>
      <c r="AI874" s="25"/>
      <c r="AJ874" s="6"/>
      <c r="AK874" s="19"/>
      <c r="AL874" s="19"/>
      <c r="AM874" s="19"/>
    </row>
    <row r="875" spans="1:39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25"/>
      <c r="AE875" s="25"/>
      <c r="AF875" s="25"/>
      <c r="AG875" s="25"/>
      <c r="AH875" s="25"/>
      <c r="AI875" s="25"/>
      <c r="AJ875" s="6"/>
      <c r="AK875" s="19"/>
      <c r="AL875" s="19"/>
      <c r="AM875" s="19"/>
    </row>
    <row r="876" spans="1:39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25"/>
      <c r="AE876" s="25"/>
      <c r="AF876" s="25"/>
      <c r="AG876" s="25"/>
      <c r="AH876" s="25"/>
      <c r="AI876" s="25"/>
      <c r="AJ876" s="6"/>
      <c r="AK876" s="19"/>
      <c r="AL876" s="19"/>
      <c r="AM876" s="19"/>
    </row>
    <row r="877" spans="1:39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25"/>
      <c r="AE877" s="25"/>
      <c r="AF877" s="25"/>
      <c r="AG877" s="25"/>
      <c r="AH877" s="25"/>
      <c r="AI877" s="25"/>
      <c r="AJ877" s="6"/>
      <c r="AK877" s="19"/>
      <c r="AL877" s="19"/>
      <c r="AM877" s="19"/>
    </row>
    <row r="878" spans="1:39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25"/>
      <c r="AE878" s="25"/>
      <c r="AF878" s="25"/>
      <c r="AG878" s="25"/>
      <c r="AH878" s="25"/>
      <c r="AI878" s="25"/>
      <c r="AJ878" s="6"/>
      <c r="AK878" s="19"/>
      <c r="AL878" s="19"/>
      <c r="AM878" s="19"/>
    </row>
    <row r="879" spans="1:3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25"/>
      <c r="AE879" s="25"/>
      <c r="AF879" s="25"/>
      <c r="AG879" s="25"/>
      <c r="AH879" s="25"/>
      <c r="AI879" s="25"/>
      <c r="AJ879" s="6"/>
      <c r="AK879" s="19"/>
      <c r="AL879" s="19"/>
      <c r="AM879" s="19"/>
    </row>
    <row r="880" spans="1:39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25"/>
      <c r="AE880" s="25"/>
      <c r="AF880" s="25"/>
      <c r="AG880" s="25"/>
      <c r="AH880" s="25"/>
      <c r="AI880" s="25"/>
      <c r="AJ880" s="6"/>
      <c r="AK880" s="19"/>
      <c r="AL880" s="19"/>
      <c r="AM880" s="19"/>
    </row>
    <row r="881" spans="1:39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25"/>
      <c r="AE881" s="25"/>
      <c r="AF881" s="25"/>
      <c r="AG881" s="25"/>
      <c r="AH881" s="25"/>
      <c r="AI881" s="25"/>
      <c r="AJ881" s="6"/>
      <c r="AK881" s="19"/>
      <c r="AL881" s="19"/>
      <c r="AM881" s="19"/>
    </row>
    <row r="882" spans="1:39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25"/>
      <c r="AE882" s="25"/>
      <c r="AF882" s="25"/>
      <c r="AG882" s="25"/>
      <c r="AH882" s="25"/>
      <c r="AI882" s="25"/>
      <c r="AJ882" s="6"/>
      <c r="AK882" s="19"/>
      <c r="AL882" s="19"/>
      <c r="AM882" s="19"/>
    </row>
    <row r="883" spans="1:39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25"/>
      <c r="AE883" s="25"/>
      <c r="AF883" s="25"/>
      <c r="AG883" s="25"/>
      <c r="AH883" s="25"/>
      <c r="AI883" s="25"/>
      <c r="AJ883" s="6"/>
      <c r="AK883" s="19"/>
      <c r="AL883" s="19"/>
      <c r="AM883" s="19"/>
    </row>
    <row r="884" spans="1:39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25"/>
      <c r="AE884" s="25"/>
      <c r="AF884" s="25"/>
      <c r="AG884" s="25"/>
      <c r="AH884" s="25"/>
      <c r="AI884" s="25"/>
      <c r="AJ884" s="6"/>
      <c r="AK884" s="19"/>
      <c r="AL884" s="19"/>
      <c r="AM884" s="19"/>
    </row>
    <row r="885" spans="1:39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25"/>
      <c r="AE885" s="25"/>
      <c r="AF885" s="25"/>
      <c r="AG885" s="25"/>
      <c r="AH885" s="25"/>
      <c r="AI885" s="25"/>
      <c r="AJ885" s="6"/>
      <c r="AK885" s="19"/>
      <c r="AL885" s="19"/>
      <c r="AM885" s="19"/>
    </row>
    <row r="886" spans="1:39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25"/>
      <c r="AE886" s="25"/>
      <c r="AF886" s="25"/>
      <c r="AG886" s="25"/>
      <c r="AH886" s="25"/>
      <c r="AI886" s="25"/>
      <c r="AJ886" s="6"/>
      <c r="AK886" s="19"/>
      <c r="AL886" s="19"/>
      <c r="AM886" s="19"/>
    </row>
    <row r="887" spans="1:39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25"/>
      <c r="AE887" s="25"/>
      <c r="AF887" s="25"/>
      <c r="AG887" s="25"/>
      <c r="AH887" s="25"/>
      <c r="AI887" s="25"/>
      <c r="AJ887" s="6"/>
      <c r="AK887" s="19"/>
      <c r="AL887" s="19"/>
      <c r="AM887" s="19"/>
    </row>
    <row r="888" spans="1:39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25"/>
      <c r="AE888" s="25"/>
      <c r="AF888" s="25"/>
      <c r="AG888" s="25"/>
      <c r="AH888" s="25"/>
      <c r="AI888" s="25"/>
      <c r="AJ888" s="6"/>
      <c r="AK888" s="19"/>
      <c r="AL888" s="19"/>
      <c r="AM888" s="19"/>
    </row>
    <row r="889" spans="1:3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25"/>
      <c r="AE889" s="25"/>
      <c r="AF889" s="25"/>
      <c r="AG889" s="25"/>
      <c r="AH889" s="25"/>
      <c r="AI889" s="25"/>
      <c r="AJ889" s="6"/>
      <c r="AK889" s="19"/>
      <c r="AL889" s="19"/>
      <c r="AM889" s="19"/>
    </row>
    <row r="890" spans="1:39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25"/>
      <c r="AE890" s="25"/>
      <c r="AF890" s="25"/>
      <c r="AG890" s="25"/>
      <c r="AH890" s="25"/>
      <c r="AI890" s="25"/>
      <c r="AJ890" s="6"/>
      <c r="AK890" s="19"/>
      <c r="AL890" s="19"/>
      <c r="AM890" s="19"/>
    </row>
    <row r="891" spans="1:39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25"/>
      <c r="AE891" s="25"/>
      <c r="AF891" s="25"/>
      <c r="AG891" s="25"/>
      <c r="AH891" s="25"/>
      <c r="AI891" s="25"/>
      <c r="AJ891" s="6"/>
      <c r="AK891" s="19"/>
      <c r="AL891" s="19"/>
      <c r="AM891" s="19"/>
    </row>
    <row r="892" spans="1:39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25"/>
      <c r="AE892" s="25"/>
      <c r="AF892" s="25"/>
      <c r="AG892" s="25"/>
      <c r="AH892" s="25"/>
      <c r="AI892" s="25"/>
      <c r="AJ892" s="6"/>
      <c r="AK892" s="19"/>
      <c r="AL892" s="19"/>
      <c r="AM892" s="19"/>
    </row>
    <row r="893" spans="1:39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25"/>
      <c r="AE893" s="25"/>
      <c r="AF893" s="25"/>
      <c r="AG893" s="25"/>
      <c r="AH893" s="25"/>
      <c r="AI893" s="25"/>
      <c r="AJ893" s="6"/>
      <c r="AK893" s="19"/>
      <c r="AL893" s="19"/>
      <c r="AM893" s="19"/>
    </row>
    <row r="894" spans="1:39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25"/>
      <c r="AE894" s="25"/>
      <c r="AF894" s="25"/>
      <c r="AG894" s="25"/>
      <c r="AH894" s="25"/>
      <c r="AI894" s="25"/>
      <c r="AJ894" s="6"/>
      <c r="AK894" s="19"/>
      <c r="AL894" s="19"/>
      <c r="AM894" s="19"/>
    </row>
    <row r="895" spans="1:39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25"/>
      <c r="AE895" s="25"/>
      <c r="AF895" s="25"/>
      <c r="AG895" s="25"/>
      <c r="AH895" s="25"/>
      <c r="AI895" s="25"/>
      <c r="AJ895" s="6"/>
      <c r="AK895" s="19"/>
      <c r="AL895" s="19"/>
      <c r="AM895" s="19"/>
    </row>
    <row r="896" spans="1:39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25"/>
      <c r="AE896" s="25"/>
      <c r="AF896" s="25"/>
      <c r="AG896" s="25"/>
      <c r="AH896" s="25"/>
      <c r="AI896" s="25"/>
      <c r="AJ896" s="6"/>
      <c r="AK896" s="19"/>
      <c r="AL896" s="19"/>
      <c r="AM896" s="19"/>
    </row>
    <row r="897" spans="1:39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25"/>
      <c r="AE897" s="25"/>
      <c r="AF897" s="25"/>
      <c r="AG897" s="25"/>
      <c r="AH897" s="25"/>
      <c r="AI897" s="25"/>
      <c r="AJ897" s="6"/>
      <c r="AK897" s="19"/>
      <c r="AL897" s="19"/>
      <c r="AM897" s="19"/>
    </row>
    <row r="898" spans="1:39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25"/>
      <c r="AE898" s="25"/>
      <c r="AF898" s="25"/>
      <c r="AG898" s="25"/>
      <c r="AH898" s="25"/>
      <c r="AI898" s="25"/>
      <c r="AJ898" s="6"/>
      <c r="AK898" s="19"/>
      <c r="AL898" s="19"/>
      <c r="AM898" s="19"/>
    </row>
    <row r="899" spans="1:3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25"/>
      <c r="AE899" s="25"/>
      <c r="AF899" s="25"/>
      <c r="AG899" s="25"/>
      <c r="AH899" s="25"/>
      <c r="AI899" s="25"/>
      <c r="AJ899" s="6"/>
      <c r="AK899" s="19"/>
      <c r="AL899" s="19"/>
      <c r="AM899" s="19"/>
    </row>
    <row r="900" spans="1:39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25"/>
      <c r="AE900" s="25"/>
      <c r="AF900" s="25"/>
      <c r="AG900" s="25"/>
      <c r="AH900" s="25"/>
      <c r="AI900" s="25"/>
      <c r="AJ900" s="6"/>
      <c r="AK900" s="19"/>
      <c r="AL900" s="19"/>
      <c r="AM900" s="19"/>
    </row>
    <row r="901" spans="1:39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25"/>
      <c r="AE901" s="25"/>
      <c r="AF901" s="25"/>
      <c r="AG901" s="25"/>
      <c r="AH901" s="25"/>
      <c r="AI901" s="25"/>
      <c r="AJ901" s="6"/>
      <c r="AK901" s="19"/>
      <c r="AL901" s="19"/>
      <c r="AM901" s="19"/>
    </row>
    <row r="902" spans="1:39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25"/>
      <c r="AE902" s="25"/>
      <c r="AF902" s="25"/>
      <c r="AG902" s="25"/>
      <c r="AH902" s="25"/>
      <c r="AI902" s="25"/>
      <c r="AJ902" s="6"/>
      <c r="AK902" s="19"/>
      <c r="AL902" s="19"/>
      <c r="AM902" s="19"/>
    </row>
    <row r="903" spans="1:39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25"/>
      <c r="AE903" s="25"/>
      <c r="AF903" s="25"/>
      <c r="AG903" s="25"/>
      <c r="AH903" s="25"/>
      <c r="AI903" s="25"/>
      <c r="AJ903" s="6"/>
      <c r="AK903" s="19"/>
      <c r="AL903" s="19"/>
      <c r="AM903" s="19"/>
    </row>
    <row r="904" spans="1:39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25"/>
      <c r="AE904" s="25"/>
      <c r="AF904" s="25"/>
      <c r="AG904" s="25"/>
      <c r="AH904" s="25"/>
      <c r="AI904" s="25"/>
      <c r="AJ904" s="6"/>
      <c r="AK904" s="19"/>
      <c r="AL904" s="19"/>
      <c r="AM904" s="19"/>
    </row>
    <row r="905" spans="1:39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25"/>
      <c r="AE905" s="25"/>
      <c r="AF905" s="25"/>
      <c r="AG905" s="25"/>
      <c r="AH905" s="25"/>
      <c r="AI905" s="25"/>
      <c r="AJ905" s="6"/>
      <c r="AK905" s="19"/>
      <c r="AL905" s="19"/>
      <c r="AM905" s="19"/>
    </row>
    <row r="906" spans="1:39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25"/>
      <c r="AE906" s="25"/>
      <c r="AF906" s="25"/>
      <c r="AG906" s="25"/>
      <c r="AH906" s="25"/>
      <c r="AI906" s="25"/>
      <c r="AJ906" s="6"/>
      <c r="AK906" s="19"/>
      <c r="AL906" s="19"/>
      <c r="AM906" s="19"/>
    </row>
    <row r="907" spans="1:39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25"/>
      <c r="AE907" s="25"/>
      <c r="AF907" s="25"/>
      <c r="AG907" s="25"/>
      <c r="AH907" s="25"/>
      <c r="AI907" s="25"/>
      <c r="AJ907" s="6"/>
      <c r="AK907" s="19"/>
      <c r="AL907" s="19"/>
      <c r="AM907" s="19"/>
    </row>
    <row r="908" spans="1:39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25"/>
      <c r="AE908" s="25"/>
      <c r="AF908" s="25"/>
      <c r="AG908" s="25"/>
      <c r="AH908" s="25"/>
      <c r="AI908" s="25"/>
      <c r="AJ908" s="6"/>
      <c r="AK908" s="19"/>
      <c r="AL908" s="19"/>
      <c r="AM908" s="19"/>
    </row>
    <row r="909" spans="1:3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25"/>
      <c r="AE909" s="25"/>
      <c r="AF909" s="25"/>
      <c r="AG909" s="25"/>
      <c r="AH909" s="25"/>
      <c r="AI909" s="25"/>
      <c r="AJ909" s="6"/>
      <c r="AK909" s="19"/>
      <c r="AL909" s="19"/>
      <c r="AM909" s="19"/>
    </row>
    <row r="910" spans="1:39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25"/>
      <c r="AE910" s="25"/>
      <c r="AF910" s="25"/>
      <c r="AG910" s="25"/>
      <c r="AH910" s="25"/>
      <c r="AI910" s="25"/>
      <c r="AJ910" s="6"/>
      <c r="AK910" s="19"/>
      <c r="AL910" s="19"/>
      <c r="AM910" s="19"/>
    </row>
    <row r="911" spans="1:39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25"/>
      <c r="AE911" s="25"/>
      <c r="AF911" s="25"/>
      <c r="AG911" s="25"/>
      <c r="AH911" s="25"/>
      <c r="AI911" s="25"/>
      <c r="AJ911" s="6"/>
      <c r="AK911" s="19"/>
      <c r="AL911" s="19"/>
      <c r="AM911" s="19"/>
    </row>
    <row r="912" spans="1:39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25"/>
      <c r="AE912" s="25"/>
      <c r="AF912" s="25"/>
      <c r="AG912" s="25"/>
      <c r="AH912" s="25"/>
      <c r="AI912" s="25"/>
      <c r="AJ912" s="6"/>
      <c r="AK912" s="19"/>
      <c r="AL912" s="19"/>
      <c r="AM912" s="19"/>
    </row>
    <row r="913" spans="1:39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25"/>
      <c r="AE913" s="25"/>
      <c r="AF913" s="25"/>
      <c r="AG913" s="25"/>
      <c r="AH913" s="25"/>
      <c r="AI913" s="25"/>
      <c r="AJ913" s="6"/>
      <c r="AK913" s="19"/>
      <c r="AL913" s="19"/>
      <c r="AM913" s="19"/>
    </row>
    <row r="914" spans="1:39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25"/>
      <c r="AE914" s="25"/>
      <c r="AF914" s="25"/>
      <c r="AG914" s="25"/>
      <c r="AH914" s="25"/>
      <c r="AI914" s="25"/>
      <c r="AJ914" s="6"/>
      <c r="AK914" s="19"/>
      <c r="AL914" s="19"/>
      <c r="AM914" s="19"/>
    </row>
    <row r="915" spans="1:39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25"/>
      <c r="AE915" s="25"/>
      <c r="AF915" s="25"/>
      <c r="AG915" s="25"/>
      <c r="AH915" s="25"/>
      <c r="AI915" s="25"/>
      <c r="AJ915" s="6"/>
      <c r="AK915" s="19"/>
      <c r="AL915" s="19"/>
      <c r="AM915" s="19"/>
    </row>
    <row r="916" spans="1:39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25"/>
      <c r="AE916" s="25"/>
      <c r="AF916" s="25"/>
      <c r="AG916" s="25"/>
      <c r="AH916" s="25"/>
      <c r="AI916" s="25"/>
      <c r="AJ916" s="6"/>
      <c r="AK916" s="19"/>
      <c r="AL916" s="19"/>
      <c r="AM916" s="19"/>
    </row>
    <row r="917" spans="1:39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25"/>
      <c r="AE917" s="25"/>
      <c r="AF917" s="25"/>
      <c r="AG917" s="25"/>
      <c r="AH917" s="25"/>
      <c r="AI917" s="25"/>
      <c r="AJ917" s="6"/>
      <c r="AK917" s="19"/>
      <c r="AL917" s="19"/>
      <c r="AM917" s="19"/>
    </row>
    <row r="918" spans="1:39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25"/>
      <c r="AE918" s="25"/>
      <c r="AF918" s="25"/>
      <c r="AG918" s="25"/>
      <c r="AH918" s="25"/>
      <c r="AI918" s="25"/>
      <c r="AJ918" s="6"/>
      <c r="AK918" s="19"/>
      <c r="AL918" s="19"/>
      <c r="AM918" s="19"/>
    </row>
    <row r="919" spans="1:3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25"/>
      <c r="AE919" s="25"/>
      <c r="AF919" s="25"/>
      <c r="AG919" s="25"/>
      <c r="AH919" s="25"/>
      <c r="AI919" s="25"/>
      <c r="AJ919" s="6"/>
      <c r="AK919" s="19"/>
      <c r="AL919" s="19"/>
      <c r="AM919" s="19"/>
    </row>
    <row r="920" spans="1:39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25"/>
      <c r="AE920" s="25"/>
      <c r="AF920" s="25"/>
      <c r="AG920" s="25"/>
      <c r="AH920" s="25"/>
      <c r="AI920" s="25"/>
      <c r="AJ920" s="6"/>
      <c r="AK920" s="19"/>
      <c r="AL920" s="19"/>
      <c r="AM920" s="19"/>
    </row>
    <row r="921" spans="1:39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25"/>
      <c r="AE921" s="25"/>
      <c r="AF921" s="25"/>
      <c r="AG921" s="25"/>
      <c r="AH921" s="25"/>
      <c r="AI921" s="25"/>
      <c r="AJ921" s="6"/>
      <c r="AK921" s="19"/>
      <c r="AL921" s="19"/>
      <c r="AM921" s="19"/>
    </row>
    <row r="922" spans="1:39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25"/>
      <c r="AE922" s="25"/>
      <c r="AF922" s="25"/>
      <c r="AG922" s="25"/>
      <c r="AH922" s="25"/>
      <c r="AI922" s="25"/>
      <c r="AJ922" s="6"/>
      <c r="AK922" s="19"/>
      <c r="AL922" s="19"/>
      <c r="AM922" s="19"/>
    </row>
    <row r="923" spans="1:39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25"/>
      <c r="AE923" s="25"/>
      <c r="AF923" s="25"/>
      <c r="AG923" s="25"/>
      <c r="AH923" s="25"/>
      <c r="AI923" s="25"/>
      <c r="AJ923" s="6"/>
      <c r="AK923" s="19"/>
      <c r="AL923" s="19"/>
      <c r="AM923" s="19"/>
    </row>
    <row r="924" spans="1:39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25"/>
      <c r="AE924" s="25"/>
      <c r="AF924" s="25"/>
      <c r="AG924" s="25"/>
      <c r="AH924" s="25"/>
      <c r="AI924" s="25"/>
      <c r="AJ924" s="6"/>
      <c r="AK924" s="19"/>
      <c r="AL924" s="19"/>
      <c r="AM924" s="19"/>
    </row>
    <row r="925" spans="1:39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25"/>
      <c r="AE925" s="25"/>
      <c r="AF925" s="25"/>
      <c r="AG925" s="25"/>
      <c r="AH925" s="25"/>
      <c r="AI925" s="25"/>
      <c r="AJ925" s="6"/>
      <c r="AK925" s="19"/>
      <c r="AL925" s="19"/>
      <c r="AM925" s="19"/>
    </row>
    <row r="926" spans="1:39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25"/>
      <c r="AE926" s="25"/>
      <c r="AF926" s="25"/>
      <c r="AG926" s="25"/>
      <c r="AH926" s="25"/>
      <c r="AI926" s="25"/>
      <c r="AJ926" s="6"/>
      <c r="AK926" s="19"/>
      <c r="AL926" s="19"/>
      <c r="AM926" s="19"/>
    </row>
    <row r="927" spans="1:39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25"/>
      <c r="AE927" s="25"/>
      <c r="AF927" s="25"/>
      <c r="AG927" s="25"/>
      <c r="AH927" s="25"/>
      <c r="AI927" s="25"/>
      <c r="AJ927" s="6"/>
      <c r="AK927" s="19"/>
      <c r="AL927" s="19"/>
      <c r="AM927" s="19"/>
    </row>
    <row r="928" spans="1:39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25"/>
      <c r="AE928" s="25"/>
      <c r="AF928" s="25"/>
      <c r="AG928" s="25"/>
      <c r="AH928" s="25"/>
      <c r="AI928" s="25"/>
      <c r="AJ928" s="6"/>
      <c r="AK928" s="19"/>
      <c r="AL928" s="19"/>
      <c r="AM928" s="19"/>
    </row>
    <row r="929" spans="1:3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25"/>
      <c r="AE929" s="25"/>
      <c r="AF929" s="25"/>
      <c r="AG929" s="25"/>
      <c r="AH929" s="25"/>
      <c r="AI929" s="25"/>
      <c r="AJ929" s="6"/>
      <c r="AK929" s="19"/>
      <c r="AL929" s="19"/>
      <c r="AM929" s="19"/>
    </row>
    <row r="930" spans="1:39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25"/>
      <c r="AE930" s="25"/>
      <c r="AF930" s="25"/>
      <c r="AG930" s="25"/>
      <c r="AH930" s="25"/>
      <c r="AI930" s="25"/>
      <c r="AJ930" s="6"/>
      <c r="AK930" s="19"/>
      <c r="AL930" s="19"/>
      <c r="AM930" s="19"/>
    </row>
    <row r="931" spans="1:39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25"/>
      <c r="AE931" s="25"/>
      <c r="AF931" s="25"/>
      <c r="AG931" s="25"/>
      <c r="AH931" s="25"/>
      <c r="AI931" s="25"/>
      <c r="AJ931" s="6"/>
      <c r="AK931" s="19"/>
      <c r="AL931" s="19"/>
      <c r="AM931" s="19"/>
    </row>
    <row r="932" spans="1:39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25"/>
      <c r="AE932" s="25"/>
      <c r="AF932" s="25"/>
      <c r="AG932" s="25"/>
      <c r="AH932" s="25"/>
      <c r="AI932" s="25"/>
      <c r="AJ932" s="6"/>
      <c r="AK932" s="19"/>
      <c r="AL932" s="19"/>
      <c r="AM932" s="19"/>
    </row>
    <row r="933" spans="1:39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25"/>
      <c r="AE933" s="25"/>
      <c r="AF933" s="25"/>
      <c r="AG933" s="25"/>
      <c r="AH933" s="25"/>
      <c r="AI933" s="25"/>
      <c r="AJ933" s="6"/>
      <c r="AK933" s="19"/>
      <c r="AL933" s="19"/>
      <c r="AM933" s="19"/>
    </row>
    <row r="934" spans="1:39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25"/>
      <c r="AE934" s="25"/>
      <c r="AF934" s="25"/>
      <c r="AG934" s="25"/>
      <c r="AH934" s="25"/>
      <c r="AI934" s="25"/>
      <c r="AJ934" s="6"/>
      <c r="AK934" s="19"/>
      <c r="AL934" s="19"/>
      <c r="AM934" s="19"/>
    </row>
    <row r="935" spans="1:39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25"/>
      <c r="AE935" s="25"/>
      <c r="AF935" s="25"/>
      <c r="AG935" s="25"/>
      <c r="AH935" s="25"/>
      <c r="AI935" s="25"/>
      <c r="AJ935" s="6"/>
      <c r="AK935" s="19"/>
      <c r="AL935" s="19"/>
      <c r="AM935" s="19"/>
    </row>
    <row r="936" spans="1:39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25"/>
      <c r="AE936" s="25"/>
      <c r="AF936" s="25"/>
      <c r="AG936" s="25"/>
      <c r="AH936" s="25"/>
      <c r="AI936" s="25"/>
      <c r="AJ936" s="6"/>
      <c r="AK936" s="19"/>
      <c r="AL936" s="19"/>
      <c r="AM936" s="19"/>
    </row>
    <row r="937" spans="1:39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25"/>
      <c r="AE937" s="25"/>
      <c r="AF937" s="25"/>
      <c r="AG937" s="25"/>
      <c r="AH937" s="25"/>
      <c r="AI937" s="25"/>
      <c r="AJ937" s="6"/>
      <c r="AK937" s="19"/>
      <c r="AL937" s="19"/>
      <c r="AM937" s="19"/>
    </row>
    <row r="938" spans="1:39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25"/>
      <c r="AE938" s="25"/>
      <c r="AF938" s="25"/>
      <c r="AG938" s="25"/>
      <c r="AH938" s="25"/>
      <c r="AI938" s="25"/>
      <c r="AJ938" s="6"/>
      <c r="AK938" s="19"/>
      <c r="AL938" s="19"/>
      <c r="AM938" s="19"/>
    </row>
    <row r="939" spans="1: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25"/>
      <c r="AE939" s="25"/>
      <c r="AF939" s="25"/>
      <c r="AG939" s="25"/>
      <c r="AH939" s="25"/>
      <c r="AI939" s="25"/>
      <c r="AJ939" s="6"/>
      <c r="AK939" s="19"/>
      <c r="AL939" s="19"/>
      <c r="AM939" s="19"/>
    </row>
    <row r="940" spans="1:39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25"/>
      <c r="AE940" s="25"/>
      <c r="AF940" s="25"/>
      <c r="AG940" s="25"/>
      <c r="AH940" s="25"/>
      <c r="AI940" s="25"/>
      <c r="AJ940" s="6"/>
      <c r="AK940" s="19"/>
      <c r="AL940" s="19"/>
      <c r="AM940" s="19"/>
    </row>
    <row r="941" spans="1:39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25"/>
      <c r="AE941" s="25"/>
      <c r="AF941" s="25"/>
      <c r="AG941" s="25"/>
      <c r="AH941" s="25"/>
      <c r="AI941" s="25"/>
      <c r="AJ941" s="6"/>
      <c r="AK941" s="19"/>
      <c r="AL941" s="19"/>
      <c r="AM941" s="19"/>
    </row>
    <row r="942" spans="1:39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25"/>
      <c r="AE942" s="25"/>
      <c r="AF942" s="25"/>
      <c r="AG942" s="25"/>
      <c r="AH942" s="25"/>
      <c r="AI942" s="25"/>
      <c r="AJ942" s="6"/>
      <c r="AK942" s="19"/>
      <c r="AL942" s="19"/>
      <c r="AM942" s="19"/>
    </row>
    <row r="943" spans="1:39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25"/>
      <c r="AE943" s="25"/>
      <c r="AF943" s="25"/>
      <c r="AG943" s="25"/>
      <c r="AH943" s="25"/>
      <c r="AI943" s="25"/>
      <c r="AJ943" s="6"/>
      <c r="AK943" s="19"/>
      <c r="AL943" s="19"/>
      <c r="AM943" s="19"/>
    </row>
    <row r="944" spans="1:39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25"/>
      <c r="AE944" s="25"/>
      <c r="AF944" s="25"/>
      <c r="AG944" s="25"/>
      <c r="AH944" s="25"/>
      <c r="AI944" s="25"/>
      <c r="AJ944" s="6"/>
      <c r="AK944" s="19"/>
      <c r="AL944" s="19"/>
      <c r="AM944" s="19"/>
    </row>
    <row r="945" spans="1:39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25"/>
      <c r="AE945" s="25"/>
      <c r="AF945" s="25"/>
      <c r="AG945" s="25"/>
      <c r="AH945" s="25"/>
      <c r="AI945" s="25"/>
      <c r="AJ945" s="6"/>
      <c r="AK945" s="19"/>
      <c r="AL945" s="19"/>
      <c r="AM945" s="19"/>
    </row>
    <row r="946" spans="1:39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25"/>
      <c r="AE946" s="25"/>
      <c r="AF946" s="25"/>
      <c r="AG946" s="25"/>
      <c r="AH946" s="25"/>
      <c r="AI946" s="25"/>
      <c r="AJ946" s="6"/>
      <c r="AK946" s="19"/>
      <c r="AL946" s="19"/>
      <c r="AM946" s="19"/>
    </row>
    <row r="947" spans="1:39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25"/>
      <c r="AE947" s="25"/>
      <c r="AF947" s="25"/>
      <c r="AG947" s="25"/>
      <c r="AH947" s="25"/>
      <c r="AI947" s="25"/>
      <c r="AJ947" s="6"/>
      <c r="AK947" s="19"/>
      <c r="AL947" s="19"/>
      <c r="AM947" s="19"/>
    </row>
    <row r="948" spans="1:39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25"/>
      <c r="AE948" s="25"/>
      <c r="AF948" s="25"/>
      <c r="AG948" s="25"/>
      <c r="AH948" s="25"/>
      <c r="AI948" s="25"/>
      <c r="AJ948" s="6"/>
      <c r="AK948" s="19"/>
      <c r="AL948" s="19"/>
      <c r="AM948" s="19"/>
    </row>
    <row r="949" spans="1:3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25"/>
      <c r="AE949" s="25"/>
      <c r="AF949" s="25"/>
      <c r="AG949" s="25"/>
      <c r="AH949" s="25"/>
      <c r="AI949" s="25"/>
      <c r="AJ949" s="6"/>
      <c r="AK949" s="19"/>
      <c r="AL949" s="19"/>
      <c r="AM949" s="19"/>
    </row>
    <row r="950" spans="1:39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25"/>
      <c r="AE950" s="25"/>
      <c r="AF950" s="25"/>
      <c r="AG950" s="25"/>
      <c r="AH950" s="25"/>
      <c r="AI950" s="25"/>
      <c r="AJ950" s="6"/>
      <c r="AK950" s="19"/>
      <c r="AL950" s="19"/>
      <c r="AM950" s="19"/>
    </row>
    <row r="951" spans="1:39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25"/>
      <c r="AE951" s="25"/>
      <c r="AF951" s="25"/>
      <c r="AG951" s="25"/>
      <c r="AH951" s="25"/>
      <c r="AI951" s="25"/>
      <c r="AJ951" s="6"/>
      <c r="AK951" s="19"/>
      <c r="AL951" s="19"/>
      <c r="AM951" s="19"/>
    </row>
    <row r="952" spans="1:39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25"/>
      <c r="AE952" s="25"/>
      <c r="AF952" s="25"/>
      <c r="AG952" s="25"/>
      <c r="AH952" s="25"/>
      <c r="AI952" s="25"/>
      <c r="AJ952" s="6"/>
      <c r="AK952" s="19"/>
      <c r="AL952" s="19"/>
      <c r="AM952" s="19"/>
    </row>
    <row r="953" spans="1:39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25"/>
      <c r="AE953" s="25"/>
      <c r="AF953" s="25"/>
      <c r="AG953" s="25"/>
      <c r="AH953" s="25"/>
      <c r="AI953" s="25"/>
      <c r="AJ953" s="6"/>
      <c r="AK953" s="19"/>
      <c r="AL953" s="19"/>
      <c r="AM953" s="19"/>
    </row>
    <row r="954" spans="1:39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25"/>
      <c r="AE954" s="25"/>
      <c r="AF954" s="25"/>
      <c r="AG954" s="25"/>
      <c r="AH954" s="25"/>
      <c r="AI954" s="25"/>
      <c r="AJ954" s="6"/>
      <c r="AK954" s="19"/>
      <c r="AL954" s="19"/>
      <c r="AM954" s="19"/>
    </row>
    <row r="955" spans="1:39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25"/>
      <c r="AE955" s="25"/>
      <c r="AF955" s="25"/>
      <c r="AG955" s="25"/>
      <c r="AH955" s="25"/>
      <c r="AI955" s="25"/>
      <c r="AJ955" s="6"/>
      <c r="AK955" s="19"/>
      <c r="AL955" s="19"/>
      <c r="AM955" s="19"/>
    </row>
    <row r="956" spans="1:39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25"/>
      <c r="AE956" s="25"/>
      <c r="AF956" s="25"/>
      <c r="AG956" s="25"/>
      <c r="AH956" s="25"/>
      <c r="AI956" s="25"/>
      <c r="AJ956" s="6"/>
      <c r="AK956" s="19"/>
      <c r="AL956" s="19"/>
      <c r="AM956" s="19"/>
    </row>
    <row r="957" spans="1:39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25"/>
      <c r="AE957" s="25"/>
      <c r="AF957" s="25"/>
      <c r="AG957" s="25"/>
      <c r="AH957" s="25"/>
      <c r="AI957" s="25"/>
      <c r="AJ957" s="6"/>
      <c r="AK957" s="19"/>
      <c r="AL957" s="19"/>
      <c r="AM957" s="19"/>
    </row>
    <row r="958" spans="1:39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25"/>
      <c r="AE958" s="25"/>
      <c r="AF958" s="25"/>
      <c r="AG958" s="25"/>
      <c r="AH958" s="25"/>
      <c r="AI958" s="25"/>
      <c r="AJ958" s="6"/>
      <c r="AK958" s="19"/>
      <c r="AL958" s="19"/>
      <c r="AM958" s="19"/>
    </row>
    <row r="959" spans="1:3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25"/>
      <c r="AE959" s="25"/>
      <c r="AF959" s="25"/>
      <c r="AG959" s="25"/>
      <c r="AH959" s="25"/>
      <c r="AI959" s="25"/>
      <c r="AJ959" s="6"/>
      <c r="AK959" s="19"/>
      <c r="AL959" s="19"/>
      <c r="AM959" s="19"/>
    </row>
    <row r="960" spans="1:39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25"/>
      <c r="AE960" s="25"/>
      <c r="AF960" s="25"/>
      <c r="AG960" s="25"/>
      <c r="AH960" s="25"/>
      <c r="AI960" s="25"/>
      <c r="AJ960" s="6"/>
      <c r="AK960" s="19"/>
      <c r="AL960" s="19"/>
      <c r="AM960" s="19"/>
    </row>
    <row r="961" spans="1:39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25"/>
      <c r="AE961" s="25"/>
      <c r="AF961" s="25"/>
      <c r="AG961" s="25"/>
      <c r="AH961" s="25"/>
      <c r="AI961" s="25"/>
      <c r="AJ961" s="6"/>
      <c r="AK961" s="19"/>
      <c r="AL961" s="19"/>
      <c r="AM961" s="19"/>
    </row>
    <row r="962" spans="1:39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25"/>
      <c r="AE962" s="25"/>
      <c r="AF962" s="25"/>
      <c r="AG962" s="25"/>
      <c r="AH962" s="25"/>
      <c r="AI962" s="25"/>
      <c r="AJ962" s="6"/>
      <c r="AK962" s="19"/>
      <c r="AL962" s="19"/>
      <c r="AM962" s="19"/>
    </row>
    <row r="963" spans="1:39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25"/>
      <c r="AE963" s="25"/>
      <c r="AF963" s="25"/>
      <c r="AG963" s="25"/>
      <c r="AH963" s="25"/>
      <c r="AI963" s="25"/>
      <c r="AJ963" s="6"/>
      <c r="AK963" s="19"/>
      <c r="AL963" s="19"/>
      <c r="AM963" s="19"/>
    </row>
    <row r="964" spans="1:39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25"/>
      <c r="AE964" s="25"/>
      <c r="AF964" s="25"/>
      <c r="AG964" s="25"/>
      <c r="AH964" s="25"/>
      <c r="AI964" s="25"/>
      <c r="AJ964" s="6"/>
      <c r="AK964" s="19"/>
      <c r="AL964" s="19"/>
      <c r="AM964" s="19"/>
    </row>
    <row r="965" spans="1:39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25"/>
      <c r="AE965" s="25"/>
      <c r="AF965" s="25"/>
      <c r="AG965" s="25"/>
      <c r="AH965" s="25"/>
      <c r="AI965" s="25"/>
      <c r="AJ965" s="6"/>
      <c r="AK965" s="19"/>
      <c r="AL965" s="19"/>
      <c r="AM965" s="19"/>
    </row>
    <row r="966" spans="1:39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25"/>
      <c r="AE966" s="25"/>
      <c r="AF966" s="25"/>
      <c r="AG966" s="25"/>
      <c r="AH966" s="25"/>
      <c r="AI966" s="25"/>
      <c r="AJ966" s="6"/>
      <c r="AK966" s="19"/>
      <c r="AL966" s="19"/>
      <c r="AM966" s="19"/>
    </row>
    <row r="967" spans="1:39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25"/>
      <c r="AE967" s="25"/>
      <c r="AF967" s="25"/>
      <c r="AG967" s="25"/>
      <c r="AH967" s="25"/>
      <c r="AI967" s="25"/>
      <c r="AJ967" s="6"/>
      <c r="AK967" s="19"/>
      <c r="AL967" s="19"/>
      <c r="AM967" s="19"/>
    </row>
    <row r="968" spans="1:39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25"/>
      <c r="AE968" s="25"/>
      <c r="AF968" s="25"/>
      <c r="AG968" s="25"/>
      <c r="AH968" s="25"/>
      <c r="AI968" s="25"/>
      <c r="AJ968" s="6"/>
      <c r="AK968" s="19"/>
      <c r="AL968" s="19"/>
      <c r="AM968" s="19"/>
    </row>
    <row r="969" spans="1:3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25"/>
      <c r="AE969" s="25"/>
      <c r="AF969" s="25"/>
      <c r="AG969" s="25"/>
      <c r="AH969" s="25"/>
      <c r="AI969" s="25"/>
      <c r="AJ969" s="6"/>
      <c r="AK969" s="19"/>
      <c r="AL969" s="19"/>
      <c r="AM969" s="19"/>
    </row>
    <row r="970" spans="1:39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25"/>
      <c r="AE970" s="25"/>
      <c r="AF970" s="25"/>
      <c r="AG970" s="25"/>
      <c r="AH970" s="25"/>
      <c r="AI970" s="25"/>
      <c r="AJ970" s="6"/>
      <c r="AK970" s="19"/>
      <c r="AL970" s="19"/>
      <c r="AM970" s="19"/>
    </row>
    <row r="971" spans="1:39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25"/>
      <c r="AE971" s="25"/>
      <c r="AF971" s="25"/>
      <c r="AG971" s="25"/>
      <c r="AH971" s="25"/>
      <c r="AI971" s="25"/>
      <c r="AJ971" s="6"/>
      <c r="AK971" s="19"/>
      <c r="AL971" s="19"/>
      <c r="AM971" s="19"/>
    </row>
    <row r="972" spans="1:39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25"/>
      <c r="AE972" s="25"/>
      <c r="AF972" s="25"/>
      <c r="AG972" s="25"/>
      <c r="AH972" s="25"/>
      <c r="AI972" s="25"/>
      <c r="AJ972" s="6"/>
      <c r="AK972" s="19"/>
      <c r="AL972" s="19"/>
      <c r="AM972" s="19"/>
    </row>
    <row r="973" spans="1:39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25"/>
      <c r="AE973" s="25"/>
      <c r="AF973" s="25"/>
      <c r="AG973" s="25"/>
      <c r="AH973" s="25"/>
      <c r="AI973" s="25"/>
      <c r="AJ973" s="6"/>
      <c r="AK973" s="19"/>
      <c r="AL973" s="19"/>
      <c r="AM973" s="19"/>
    </row>
    <row r="974" spans="1:39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25"/>
      <c r="AE974" s="25"/>
      <c r="AF974" s="25"/>
      <c r="AG974" s="25"/>
      <c r="AH974" s="25"/>
      <c r="AI974" s="25"/>
      <c r="AJ974" s="6"/>
      <c r="AK974" s="19"/>
      <c r="AL974" s="19"/>
      <c r="AM974" s="19"/>
    </row>
    <row r="975" spans="1:39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25"/>
      <c r="AE975" s="25"/>
      <c r="AF975" s="25"/>
      <c r="AG975" s="25"/>
      <c r="AH975" s="25"/>
      <c r="AI975" s="25"/>
      <c r="AJ975" s="6"/>
      <c r="AK975" s="19"/>
      <c r="AL975" s="19"/>
      <c r="AM975" s="19"/>
    </row>
    <row r="976" spans="1:39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25"/>
      <c r="AE976" s="25"/>
      <c r="AF976" s="25"/>
      <c r="AG976" s="25"/>
      <c r="AH976" s="25"/>
      <c r="AI976" s="25"/>
      <c r="AJ976" s="6"/>
      <c r="AK976" s="19"/>
      <c r="AL976" s="19"/>
      <c r="AM976" s="19"/>
    </row>
    <row r="977" spans="1:39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25"/>
      <c r="AE977" s="25"/>
      <c r="AF977" s="25"/>
      <c r="AG977" s="25"/>
      <c r="AH977" s="25"/>
      <c r="AI977" s="25"/>
      <c r="AJ977" s="6"/>
      <c r="AK977" s="19"/>
      <c r="AL977" s="19"/>
      <c r="AM977" s="19"/>
    </row>
    <row r="978" spans="1:39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25"/>
      <c r="AE978" s="25"/>
      <c r="AF978" s="25"/>
      <c r="AG978" s="25"/>
      <c r="AH978" s="25"/>
      <c r="AI978" s="25"/>
      <c r="AJ978" s="6"/>
      <c r="AK978" s="19"/>
      <c r="AL978" s="19"/>
      <c r="AM978" s="19"/>
    </row>
    <row r="979" spans="1:3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25"/>
      <c r="AE979" s="25"/>
      <c r="AF979" s="25"/>
      <c r="AG979" s="25"/>
      <c r="AH979" s="25"/>
      <c r="AI979" s="25"/>
      <c r="AJ979" s="6"/>
      <c r="AK979" s="19"/>
      <c r="AL979" s="19"/>
      <c r="AM979" s="19"/>
    </row>
    <row r="980" spans="1:39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25"/>
      <c r="AE980" s="25"/>
      <c r="AF980" s="25"/>
      <c r="AG980" s="25"/>
      <c r="AH980" s="25"/>
      <c r="AI980" s="25"/>
      <c r="AJ980" s="6"/>
      <c r="AK980" s="19"/>
      <c r="AL980" s="19"/>
      <c r="AM980" s="19"/>
    </row>
    <row r="981" spans="1:39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25"/>
      <c r="AE981" s="25"/>
      <c r="AF981" s="25"/>
      <c r="AG981" s="25"/>
      <c r="AH981" s="25"/>
      <c r="AI981" s="25"/>
      <c r="AJ981" s="6"/>
      <c r="AK981" s="19"/>
      <c r="AL981" s="19"/>
      <c r="AM981" s="19"/>
    </row>
    <row r="982" spans="1:39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25"/>
      <c r="AE982" s="25"/>
      <c r="AF982" s="25"/>
      <c r="AG982" s="25"/>
      <c r="AH982" s="25"/>
      <c r="AI982" s="25"/>
      <c r="AJ982" s="6"/>
      <c r="AK982" s="19"/>
      <c r="AL982" s="19"/>
      <c r="AM982" s="19"/>
    </row>
    <row r="983" spans="1:39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25"/>
      <c r="AE983" s="25"/>
      <c r="AF983" s="25"/>
      <c r="AG983" s="25"/>
      <c r="AH983" s="25"/>
      <c r="AI983" s="25"/>
      <c r="AJ983" s="6"/>
      <c r="AK983" s="19"/>
      <c r="AL983" s="19"/>
      <c r="AM983" s="19"/>
    </row>
    <row r="984" spans="1:39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25"/>
      <c r="AE984" s="25"/>
      <c r="AF984" s="25"/>
      <c r="AG984" s="25"/>
      <c r="AH984" s="25"/>
      <c r="AI984" s="25"/>
      <c r="AJ984" s="6"/>
      <c r="AK984" s="19"/>
      <c r="AL984" s="19"/>
      <c r="AM984" s="19"/>
    </row>
    <row r="985" spans="1:39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25"/>
      <c r="AE985" s="25"/>
      <c r="AF985" s="25"/>
      <c r="AG985" s="25"/>
      <c r="AH985" s="25"/>
      <c r="AI985" s="25"/>
      <c r="AJ985" s="6"/>
      <c r="AK985" s="19"/>
      <c r="AL985" s="19"/>
      <c r="AM985" s="19"/>
    </row>
    <row r="986" spans="1:39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25"/>
      <c r="AE986" s="25"/>
      <c r="AF986" s="25"/>
      <c r="AG986" s="25"/>
      <c r="AH986" s="25"/>
      <c r="AI986" s="25"/>
      <c r="AJ986" s="6"/>
      <c r="AK986" s="19"/>
      <c r="AL986" s="19"/>
      <c r="AM986" s="19"/>
    </row>
    <row r="987" spans="1:39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25"/>
      <c r="AE987" s="25"/>
      <c r="AF987" s="25"/>
      <c r="AG987" s="25"/>
      <c r="AH987" s="25"/>
      <c r="AI987" s="25"/>
      <c r="AJ987" s="6"/>
      <c r="AK987" s="19"/>
      <c r="AL987" s="19"/>
      <c r="AM987" s="19"/>
    </row>
    <row r="988" spans="1:39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25"/>
      <c r="AE988" s="25"/>
      <c r="AF988" s="25"/>
      <c r="AG988" s="25"/>
      <c r="AH988" s="25"/>
      <c r="AI988" s="25"/>
      <c r="AJ988" s="6"/>
      <c r="AK988" s="19"/>
      <c r="AL988" s="19"/>
      <c r="AM988" s="19"/>
    </row>
    <row r="989" spans="1:3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25"/>
      <c r="AE989" s="25"/>
      <c r="AF989" s="25"/>
      <c r="AG989" s="25"/>
      <c r="AH989" s="25"/>
      <c r="AI989" s="25"/>
      <c r="AJ989" s="6"/>
      <c r="AK989" s="19"/>
      <c r="AL989" s="19"/>
      <c r="AM989" s="19"/>
    </row>
    <row r="990" spans="1:39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25"/>
      <c r="AE990" s="25"/>
      <c r="AF990" s="25"/>
      <c r="AG990" s="25"/>
      <c r="AH990" s="25"/>
      <c r="AI990" s="25"/>
      <c r="AJ990" s="6"/>
      <c r="AK990" s="19"/>
      <c r="AL990" s="19"/>
      <c r="AM990" s="19"/>
    </row>
    <row r="991" spans="1:39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25"/>
      <c r="AE991" s="25"/>
      <c r="AF991" s="25"/>
      <c r="AG991" s="25"/>
      <c r="AH991" s="25"/>
      <c r="AI991" s="25"/>
      <c r="AJ991" s="6"/>
      <c r="AK991" s="19"/>
      <c r="AL991" s="19"/>
      <c r="AM991" s="19"/>
    </row>
    <row r="992" spans="1:39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25"/>
      <c r="AE992" s="25"/>
      <c r="AF992" s="25"/>
      <c r="AG992" s="25"/>
      <c r="AH992" s="25"/>
      <c r="AI992" s="25"/>
      <c r="AJ992" s="6"/>
      <c r="AK992" s="19"/>
      <c r="AL992" s="19"/>
      <c r="AM992" s="19"/>
    </row>
    <row r="993" spans="1:39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25"/>
      <c r="AE993" s="25"/>
      <c r="AF993" s="25"/>
      <c r="AG993" s="25"/>
      <c r="AH993" s="25"/>
      <c r="AI993" s="25"/>
      <c r="AJ993" s="6"/>
      <c r="AK993" s="19"/>
      <c r="AL993" s="19"/>
      <c r="AM993" s="19"/>
    </row>
    <row r="994" spans="1:39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25"/>
      <c r="AE994" s="25"/>
      <c r="AF994" s="25"/>
      <c r="AG994" s="25"/>
      <c r="AH994" s="25"/>
      <c r="AI994" s="25"/>
      <c r="AJ994" s="6"/>
      <c r="AK994" s="19"/>
      <c r="AL994" s="19"/>
      <c r="AM994" s="19"/>
    </row>
    <row r="995" spans="1:39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25"/>
      <c r="AE995" s="25"/>
      <c r="AF995" s="25"/>
      <c r="AG995" s="25"/>
      <c r="AH995" s="25"/>
      <c r="AI995" s="25"/>
      <c r="AJ995" s="6"/>
      <c r="AK995" s="19"/>
      <c r="AL995" s="19"/>
      <c r="AM995" s="19"/>
    </row>
    <row r="996" spans="1:39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25"/>
      <c r="AE996" s="25"/>
      <c r="AF996" s="25"/>
      <c r="AG996" s="25"/>
      <c r="AH996" s="25"/>
      <c r="AI996" s="25"/>
      <c r="AJ996" s="6"/>
      <c r="AK996" s="19"/>
      <c r="AL996" s="19"/>
      <c r="AM996" s="19"/>
    </row>
    <row r="997" spans="1:39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25"/>
      <c r="AE997" s="25"/>
      <c r="AF997" s="25"/>
      <c r="AG997" s="25"/>
      <c r="AH997" s="25"/>
      <c r="AI997" s="25"/>
      <c r="AJ997" s="6"/>
      <c r="AK997" s="19"/>
      <c r="AL997" s="19"/>
      <c r="AM997" s="19"/>
    </row>
    <row r="998" spans="1:39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25"/>
      <c r="AE998" s="25"/>
      <c r="AF998" s="25"/>
      <c r="AG998" s="25"/>
      <c r="AH998" s="25"/>
      <c r="AI998" s="25"/>
      <c r="AJ998" s="6"/>
      <c r="AK998" s="19"/>
      <c r="AL998" s="19"/>
      <c r="AM998" s="19"/>
    </row>
    <row r="999" spans="1:3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25"/>
      <c r="AE999" s="25"/>
      <c r="AF999" s="25"/>
      <c r="AG999" s="25"/>
      <c r="AH999" s="25"/>
      <c r="AI999" s="25"/>
      <c r="AJ999" s="6"/>
      <c r="AK999" s="19"/>
      <c r="AL999" s="19"/>
      <c r="AM999" s="19"/>
    </row>
    <row r="1000" spans="1:39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25"/>
      <c r="AG1000" s="25"/>
      <c r="AH1000" s="25"/>
      <c r="AI1000" s="25"/>
      <c r="AJ1000" s="6"/>
      <c r="AK1000" s="19"/>
      <c r="AL1000" s="19"/>
      <c r="AM1000" s="19"/>
    </row>
    <row r="1001" spans="1:39" ht="15" customHeight="1">
      <c r="AH1001" s="25"/>
      <c r="AI1001" s="25"/>
      <c r="AJ1001" s="6"/>
      <c r="AK1001" s="19"/>
    </row>
  </sheetData>
  <mergeCells count="76">
    <mergeCell ref="AE39:AF39"/>
    <mergeCell ref="AE40:AF40"/>
    <mergeCell ref="AE36:AF36"/>
    <mergeCell ref="AE38:AF38"/>
    <mergeCell ref="AE37:AG37"/>
    <mergeCell ref="AE19:AF19"/>
    <mergeCell ref="AE20:AF20"/>
    <mergeCell ref="AE21:AF21"/>
    <mergeCell ref="AE22:AF22"/>
    <mergeCell ref="AE9:AF9"/>
    <mergeCell ref="AE12:AF12"/>
    <mergeCell ref="AE13:AF13"/>
    <mergeCell ref="AE14:AF14"/>
    <mergeCell ref="AE15:AF15"/>
    <mergeCell ref="L36:Q36"/>
    <mergeCell ref="AE25:AF25"/>
    <mergeCell ref="AE33:AF33"/>
    <mergeCell ref="AE31:AF31"/>
    <mergeCell ref="AD35:AM35"/>
    <mergeCell ref="AL31:AM31"/>
    <mergeCell ref="AL33:AM33"/>
    <mergeCell ref="AL27:AM27"/>
    <mergeCell ref="AL28:AM28"/>
    <mergeCell ref="AE26:AF26"/>
    <mergeCell ref="AE27:AF27"/>
    <mergeCell ref="AE28:AF28"/>
    <mergeCell ref="AE29:AF29"/>
    <mergeCell ref="AE32:AF32"/>
    <mergeCell ref="AL12:AM12"/>
    <mergeCell ref="AE24:AF24"/>
    <mergeCell ref="AE30:AF30"/>
    <mergeCell ref="AL14:AM14"/>
    <mergeCell ref="AE23:AF23"/>
    <mergeCell ref="AL30:AM30"/>
    <mergeCell ref="AL29:AM29"/>
    <mergeCell ref="AL13:AM13"/>
    <mergeCell ref="AE16:AF16"/>
    <mergeCell ref="AE17:AF17"/>
    <mergeCell ref="AE18:AF18"/>
    <mergeCell ref="AL15:AM15"/>
    <mergeCell ref="AL16:AM16"/>
    <mergeCell ref="AL17:AM17"/>
    <mergeCell ref="AL18:AM18"/>
    <mergeCell ref="AL19:AM19"/>
    <mergeCell ref="AL8:AM8"/>
    <mergeCell ref="AL9:AM9"/>
    <mergeCell ref="AL10:AM10"/>
    <mergeCell ref="AL11:AM11"/>
    <mergeCell ref="AL5:AM5"/>
    <mergeCell ref="AL6:AM6"/>
    <mergeCell ref="AL7:AM7"/>
    <mergeCell ref="AL1:AM1"/>
    <mergeCell ref="AL2:AM2"/>
    <mergeCell ref="AL3:AM3"/>
    <mergeCell ref="AL4:AM4"/>
    <mergeCell ref="D2:E3"/>
    <mergeCell ref="D4:F4"/>
    <mergeCell ref="D10:M11"/>
    <mergeCell ref="C1:AA1"/>
    <mergeCell ref="AE1:AF1"/>
    <mergeCell ref="AE10:AF10"/>
    <mergeCell ref="AE11:AF11"/>
    <mergeCell ref="AE8:AF8"/>
    <mergeCell ref="AE2:AF2"/>
    <mergeCell ref="AE3:AF3"/>
    <mergeCell ref="AE4:AF4"/>
    <mergeCell ref="AE5:AF5"/>
    <mergeCell ref="AE6:AF6"/>
    <mergeCell ref="AE7:AF7"/>
    <mergeCell ref="AL20:AM20"/>
    <mergeCell ref="AL21:AM21"/>
    <mergeCell ref="AL24:AM24"/>
    <mergeCell ref="AL25:AM25"/>
    <mergeCell ref="AL26:AM26"/>
    <mergeCell ref="AL22:AM22"/>
    <mergeCell ref="AL23:AM23"/>
  </mergeCells>
  <phoneticPr fontId="8" type="noConversion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גיליון1</vt:lpstr>
      <vt:lpstr>שונות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לאה וילנסקי</dc:creator>
  <cp:lastModifiedBy>לבורנטית לבורנטית</cp:lastModifiedBy>
  <cp:lastPrinted>2025-06-24T08:21:21Z</cp:lastPrinted>
  <dcterms:created xsi:type="dcterms:W3CDTF">2022-12-26T09:23:20Z</dcterms:created>
  <dcterms:modified xsi:type="dcterms:W3CDTF">2025-11-28T09:44:05Z</dcterms:modified>
</cp:coreProperties>
</file>